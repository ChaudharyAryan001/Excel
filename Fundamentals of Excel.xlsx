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course\"/>
    </mc:Choice>
  </mc:AlternateContent>
  <xr:revisionPtr revIDLastSave="0" documentId="8_{16617432-DCCC-4A03-8409-0D73D7924CAC}" xr6:coauthVersionLast="47" xr6:coauthVersionMax="47" xr10:uidLastSave="{00000000-0000-0000-0000-000000000000}"/>
  <bookViews>
    <workbookView xWindow="-108" yWindow="-108" windowWidth="23256" windowHeight="13896" firstSheet="2" activeTab="2" xr2:uid="{00000000-000D-0000-FFFF-FFFF00000000}"/>
  </bookViews>
  <sheets>
    <sheet name="Students Grade" sheetId="3" r:id="rId1"/>
    <sheet name="Employee Data" sheetId="6" r:id="rId2"/>
    <sheet name="Sales Data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6" i="3" l="1"/>
  <c r="B27" i="3"/>
  <c r="H26" i="5"/>
  <c r="H24" i="5"/>
  <c r="E38" i="5"/>
  <c r="E37" i="5"/>
  <c r="F35" i="5"/>
  <c r="G32" i="5"/>
  <c r="N3" i="6"/>
  <c r="N2" i="6"/>
  <c r="K3" i="6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" i="6"/>
  <c r="J3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" i="6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" i="6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" i="6"/>
  <c r="H28" i="5"/>
  <c r="H25" i="5"/>
  <c r="H27" i="5"/>
  <c r="B28" i="5"/>
  <c r="B27" i="5"/>
  <c r="B26" i="5"/>
  <c r="B25" i="5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" i="5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" i="5"/>
  <c r="G3" i="5"/>
  <c r="H3" i="5" s="1"/>
  <c r="G4" i="5"/>
  <c r="H4" i="5" s="1"/>
  <c r="G5" i="5"/>
  <c r="H5" i="5" s="1"/>
  <c r="G6" i="5"/>
  <c r="H6" i="5" s="1"/>
  <c r="G7" i="5"/>
  <c r="H7" i="5" s="1"/>
  <c r="G8" i="5"/>
  <c r="H8" i="5" s="1"/>
  <c r="G9" i="5"/>
  <c r="H9" i="5" s="1"/>
  <c r="G10" i="5"/>
  <c r="H10" i="5" s="1"/>
  <c r="G11" i="5"/>
  <c r="H11" i="5" s="1"/>
  <c r="G12" i="5"/>
  <c r="H12" i="5" s="1"/>
  <c r="G13" i="5"/>
  <c r="H13" i="5" s="1"/>
  <c r="G14" i="5"/>
  <c r="H14" i="5" s="1"/>
  <c r="G15" i="5"/>
  <c r="H15" i="5" s="1"/>
  <c r="G16" i="5"/>
  <c r="H16" i="5" s="1"/>
  <c r="G17" i="5"/>
  <c r="H17" i="5" s="1"/>
  <c r="G18" i="5"/>
  <c r="H18" i="5" s="1"/>
  <c r="G19" i="5"/>
  <c r="H19" i="5" s="1"/>
  <c r="G20" i="5"/>
  <c r="H20" i="5" s="1"/>
  <c r="G21" i="5"/>
  <c r="H21" i="5" s="1"/>
  <c r="G2" i="5"/>
  <c r="H2" i="5" s="1"/>
  <c r="B24" i="5" s="1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" i="5"/>
  <c r="C32" i="5" s="1" a="1"/>
  <c r="B29" i="3"/>
  <c r="B30" i="3"/>
  <c r="B28" i="3"/>
  <c r="B25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" i="3"/>
  <c r="I10" i="3"/>
  <c r="I18" i="3"/>
  <c r="I3" i="3"/>
  <c r="I4" i="3"/>
  <c r="I5" i="3"/>
  <c r="I6" i="3"/>
  <c r="I7" i="3"/>
  <c r="I8" i="3"/>
  <c r="I9" i="3"/>
  <c r="I11" i="3"/>
  <c r="I12" i="3"/>
  <c r="I13" i="3"/>
  <c r="I14" i="3"/>
  <c r="I15" i="3"/>
  <c r="I16" i="3"/>
  <c r="I17" i="3"/>
  <c r="I19" i="3"/>
  <c r="I20" i="3"/>
  <c r="I21" i="3"/>
  <c r="I2" i="3"/>
  <c r="G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H2" i="3"/>
  <c r="M2" i="3" l="1"/>
  <c r="M21" i="3"/>
  <c r="H21" i="3"/>
  <c r="M20" i="3"/>
  <c r="H20" i="3"/>
  <c r="M19" i="3"/>
  <c r="H19" i="3"/>
  <c r="M18" i="3"/>
  <c r="H18" i="3"/>
  <c r="M17" i="3"/>
  <c r="H17" i="3"/>
  <c r="M16" i="3"/>
  <c r="H16" i="3"/>
  <c r="M15" i="3"/>
  <c r="H15" i="3"/>
  <c r="M14" i="3"/>
  <c r="H14" i="3"/>
  <c r="M13" i="3"/>
  <c r="H13" i="3"/>
  <c r="M12" i="3"/>
  <c r="H12" i="3"/>
  <c r="M11" i="3"/>
  <c r="H11" i="3"/>
  <c r="M10" i="3"/>
  <c r="H10" i="3"/>
  <c r="M9" i="3"/>
  <c r="H9" i="3"/>
  <c r="M8" i="3"/>
  <c r="H8" i="3"/>
  <c r="M7" i="3"/>
  <c r="H7" i="3"/>
  <c r="M6" i="3"/>
  <c r="H6" i="3"/>
  <c r="M5" i="3"/>
  <c r="H5" i="3"/>
  <c r="M4" i="3"/>
  <c r="H4" i="3"/>
  <c r="M3" i="3"/>
  <c r="H3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<sst xmlns="http://schemas.openxmlformats.org/spreadsheetml/2006/main" count="199" uniqueCount="136">
  <si>
    <t>Student ID</t>
  </si>
  <si>
    <t>Name</t>
  </si>
  <si>
    <t>Math</t>
  </si>
  <si>
    <t>Science</t>
  </si>
  <si>
    <t>English</t>
  </si>
  <si>
    <t>Enrollment Date</t>
  </si>
  <si>
    <t>Average Marks</t>
  </si>
  <si>
    <t>Grade</t>
  </si>
  <si>
    <t>Math Status</t>
  </si>
  <si>
    <t>Science Status</t>
  </si>
  <si>
    <t>Performance</t>
  </si>
  <si>
    <t>Enrollment Year</t>
  </si>
  <si>
    <t>Student Category</t>
  </si>
  <si>
    <t>Student 1</t>
  </si>
  <si>
    <t>Student 2</t>
  </si>
  <si>
    <t>Student 3</t>
  </si>
  <si>
    <t>Student 4</t>
  </si>
  <si>
    <t>Student 5</t>
  </si>
  <si>
    <t>Student 6</t>
  </si>
  <si>
    <t>Student 7</t>
  </si>
  <si>
    <t>Student 8</t>
  </si>
  <si>
    <t>Student 9</t>
  </si>
  <si>
    <t>Student 10</t>
  </si>
  <si>
    <t>Student 11</t>
  </si>
  <si>
    <t>Student 12</t>
  </si>
  <si>
    <t>Student 13</t>
  </si>
  <si>
    <t>Student 14</t>
  </si>
  <si>
    <t>Student 15</t>
  </si>
  <si>
    <t>Student 16</t>
  </si>
  <si>
    <t>Student 17</t>
  </si>
  <si>
    <t>Student 18</t>
  </si>
  <si>
    <t>Student 19</t>
  </si>
  <si>
    <t>Student 20</t>
  </si>
  <si>
    <t>Task</t>
  </si>
  <si>
    <t xml:space="preserve">               Total Number</t>
  </si>
  <si>
    <t>Students scoring above 60 in Math</t>
  </si>
  <si>
    <t>Students scoring above 80 in Math AND Science</t>
  </si>
  <si>
    <t>Average score above 60</t>
  </si>
  <si>
    <t>Total Students</t>
  </si>
  <si>
    <t>Highest Math Score</t>
  </si>
  <si>
    <t>Lowest Math Score</t>
  </si>
  <si>
    <t>Employee ID</t>
  </si>
  <si>
    <t>Department</t>
  </si>
  <si>
    <t>Salary</t>
  </si>
  <si>
    <t>Joining Date</t>
  </si>
  <si>
    <t>Joining Year</t>
  </si>
  <si>
    <t>Joining Month</t>
  </si>
  <si>
    <t>Experience</t>
  </si>
  <si>
    <t>Salary Category</t>
  </si>
  <si>
    <t>Bonus</t>
  </si>
  <si>
    <t>Department Type</t>
  </si>
  <si>
    <t>Enter Employee ID</t>
  </si>
  <si>
    <t>Employee Salary</t>
  </si>
  <si>
    <t>Employee 1</t>
  </si>
  <si>
    <t>Finance</t>
  </si>
  <si>
    <t>Employee 2</t>
  </si>
  <si>
    <t>Employee 3</t>
  </si>
  <si>
    <t>HR</t>
  </si>
  <si>
    <t>Employee 4</t>
  </si>
  <si>
    <t>Employee 5</t>
  </si>
  <si>
    <t>IT</t>
  </si>
  <si>
    <t>Employee 6</t>
  </si>
  <si>
    <t>Employee 7</t>
  </si>
  <si>
    <t>Marketing</t>
  </si>
  <si>
    <t>Employee 8</t>
  </si>
  <si>
    <t>Employee 9</t>
  </si>
  <si>
    <t>Employee 10</t>
  </si>
  <si>
    <t>Employee 11</t>
  </si>
  <si>
    <t>Employee 12</t>
  </si>
  <si>
    <t>Employee 13</t>
  </si>
  <si>
    <t>Employee 14</t>
  </si>
  <si>
    <t>Employee 15</t>
  </si>
  <si>
    <t>Employee 16</t>
  </si>
  <si>
    <t>Employee 17</t>
  </si>
  <si>
    <t>Employee 18</t>
  </si>
  <si>
    <t>Employee 19</t>
  </si>
  <si>
    <t>Employee 20</t>
  </si>
  <si>
    <t>Sales ID</t>
  </si>
  <si>
    <t>Product</t>
  </si>
  <si>
    <t>Region</t>
  </si>
  <si>
    <t>Sales_person</t>
  </si>
  <si>
    <t>Amount</t>
  </si>
  <si>
    <t>Date</t>
  </si>
  <si>
    <t>Discount</t>
  </si>
  <si>
    <t>Final Amount</t>
  </si>
  <si>
    <t>Month</t>
  </si>
  <si>
    <t>Quarter</t>
  </si>
  <si>
    <t>Price Category</t>
  </si>
  <si>
    <t>Salesperson</t>
  </si>
  <si>
    <t>Sales Amount</t>
  </si>
  <si>
    <t>Keyboard</t>
  </si>
  <si>
    <t>South</t>
  </si>
  <si>
    <t>Person 1</t>
  </si>
  <si>
    <t>Person 5</t>
  </si>
  <si>
    <t>March</t>
  </si>
  <si>
    <t>Printer</t>
  </si>
  <si>
    <t>West</t>
  </si>
  <si>
    <t>Person 2</t>
  </si>
  <si>
    <t>Mouse</t>
  </si>
  <si>
    <t>Person 3</t>
  </si>
  <si>
    <t>Enter Product</t>
  </si>
  <si>
    <t>Product Position</t>
  </si>
  <si>
    <t>East</t>
  </si>
  <si>
    <t>Person 4</t>
  </si>
  <si>
    <t>North</t>
  </si>
  <si>
    <t>Person 6</t>
  </si>
  <si>
    <t>Sales_Range</t>
  </si>
  <si>
    <t>H2:H21</t>
  </si>
  <si>
    <t>Total Sales Using INDIRECT</t>
  </si>
  <si>
    <t>Person 7</t>
  </si>
  <si>
    <t>Person 8</t>
  </si>
  <si>
    <t>Person 9</t>
  </si>
  <si>
    <t>OFFSET Sales Range</t>
  </si>
  <si>
    <t>Person 10</t>
  </si>
  <si>
    <t>Dynamic Sales Total</t>
  </si>
  <si>
    <t>Person 11</t>
  </si>
  <si>
    <t>Monitor</t>
  </si>
  <si>
    <t>Person 12</t>
  </si>
  <si>
    <t>Laptop</t>
  </si>
  <si>
    <t>Person 13</t>
  </si>
  <si>
    <t>Person 14</t>
  </si>
  <si>
    <t>Person 15</t>
  </si>
  <si>
    <t>Person 16</t>
  </si>
  <si>
    <t>Person 17</t>
  </si>
  <si>
    <t>Person 18</t>
  </si>
  <si>
    <t>Person 19</t>
  </si>
  <si>
    <t>Person 20</t>
  </si>
  <si>
    <t>Total</t>
  </si>
  <si>
    <t>Price</t>
  </si>
  <si>
    <t>Product Price</t>
  </si>
  <si>
    <t>Total Sales Amount</t>
  </si>
  <si>
    <t>keyboard</t>
  </si>
  <si>
    <t>South Region Sales</t>
  </si>
  <si>
    <t>Keyboard Sales</t>
  </si>
  <si>
    <t>East Mouse Sales</t>
  </si>
  <si>
    <t>Sales Above 20000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</si>
</sst>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409]m/d/yy\ h:mm\ AM/PM;@"/>
    <numFmt numFmtId="165" formatCode="&quot;$&quot;#,##0.00"/>
    <numFmt numFmtId="166" formatCode="[$₹-439]#,##0.00"/>
    <numFmt numFmtId="167" formatCode="[$₹-4009]\ #,##0.00"/>
    <numFmt numFmtId="168" formatCode="_ [$₹-4009]\ * #,##0.00_ ;_ [$₹-4009]\ * \-#,##0.00_ ;_ [$₹-4009]\ * &quot;-&quot;??_ ;_ @_ "/>
  </numFmts>
  <fonts count="5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charset val="1"/>
    </font>
    <font>
      <sz val="11"/>
      <color theme="1"/>
      <name val="Calibri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CCCCCC"/>
      </top>
      <bottom style="thin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/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0" fillId="0" borderId="0" xfId="0" quotePrefix="1"/>
    <xf numFmtId="0" fontId="1" fillId="0" borderId="0" xfId="0" applyFont="1" applyAlignment="1">
      <alignment horizontal="center"/>
    </xf>
    <xf numFmtId="0" fontId="2" fillId="3" borderId="3" xfId="0" applyFont="1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3" fillId="2" borderId="1" xfId="0" applyFont="1" applyFill="1" applyBorder="1" applyAlignment="1">
      <alignment horizontal="center" vertical="center" readingOrder="1"/>
    </xf>
    <xf numFmtId="0" fontId="3" fillId="2" borderId="4" xfId="0" applyFont="1" applyFill="1" applyBorder="1" applyAlignment="1">
      <alignment horizontal="center" vertical="center" readingOrder="1"/>
    </xf>
    <xf numFmtId="165" fontId="3" fillId="2" borderId="4" xfId="0" applyNumberFormat="1" applyFont="1" applyFill="1" applyBorder="1" applyAlignment="1">
      <alignment horizontal="center" vertical="center" readingOrder="1"/>
    </xf>
    <xf numFmtId="14" fontId="2" fillId="3" borderId="2" xfId="0" applyNumberFormat="1" applyFont="1" applyFill="1" applyBorder="1" applyAlignment="1">
      <alignment horizontal="center" vertical="center"/>
    </xf>
    <xf numFmtId="14" fontId="0" fillId="0" borderId="0" xfId="0" applyNumberFormat="1" applyAlignment="1">
      <alignment horizontal="center"/>
    </xf>
    <xf numFmtId="14" fontId="1" fillId="0" borderId="0" xfId="0" applyNumberFormat="1" applyFont="1" applyAlignment="1">
      <alignment horizontal="center"/>
    </xf>
    <xf numFmtId="14" fontId="4" fillId="0" borderId="1" xfId="0" applyNumberFormat="1" applyFont="1" applyBorder="1" applyAlignment="1">
      <alignment readingOrder="1"/>
    </xf>
    <xf numFmtId="164" fontId="1" fillId="0" borderId="0" xfId="0" applyNumberFormat="1" applyFont="1" applyAlignment="1">
      <alignment horizontal="center"/>
    </xf>
    <xf numFmtId="14" fontId="4" fillId="0" borderId="5" xfId="0" applyNumberFormat="1" applyFont="1" applyBorder="1" applyAlignment="1">
      <alignment readingOrder="1"/>
    </xf>
    <xf numFmtId="164" fontId="3" fillId="2" borderId="7" xfId="0" applyNumberFormat="1" applyFont="1" applyFill="1" applyBorder="1" applyAlignment="1">
      <alignment horizontal="center" vertical="center" readingOrder="1"/>
    </xf>
    <xf numFmtId="167" fontId="0" fillId="0" borderId="0" xfId="0" applyNumberFormat="1"/>
    <xf numFmtId="165" fontId="2" fillId="3" borderId="1" xfId="0" applyNumberFormat="1" applyFont="1" applyFill="1" applyBorder="1"/>
    <xf numFmtId="165" fontId="0" fillId="0" borderId="0" xfId="0" applyNumberFormat="1"/>
    <xf numFmtId="0" fontId="2" fillId="3" borderId="2" xfId="0" applyFont="1" applyFill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10" fontId="2" fillId="3" borderId="1" xfId="0" applyNumberFormat="1" applyFont="1" applyFill="1" applyBorder="1"/>
    <xf numFmtId="10" fontId="0" fillId="0" borderId="0" xfId="0" applyNumberFormat="1"/>
    <xf numFmtId="0" fontId="4" fillId="0" borderId="5" xfId="0" applyFont="1" applyBorder="1" applyAlignment="1">
      <alignment horizontal="center" readingOrder="1"/>
    </xf>
    <xf numFmtId="0" fontId="4" fillId="0" borderId="6" xfId="0" applyFont="1" applyBorder="1" applyAlignment="1">
      <alignment horizontal="center" readingOrder="1"/>
    </xf>
    <xf numFmtId="166" fontId="4" fillId="0" borderId="6" xfId="0" applyNumberFormat="1" applyFont="1" applyBorder="1" applyAlignment="1">
      <alignment horizontal="center" readingOrder="1"/>
    </xf>
    <xf numFmtId="14" fontId="4" fillId="0" borderId="2" xfId="0" applyNumberFormat="1" applyFont="1" applyBorder="1" applyAlignment="1">
      <alignment horizontal="center" readingOrder="1"/>
    </xf>
    <xf numFmtId="10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67" fontId="0" fillId="0" borderId="1" xfId="0" applyNumberFormat="1" applyBorder="1" applyAlignment="1">
      <alignment horizontal="center"/>
    </xf>
    <xf numFmtId="14" fontId="4" fillId="0" borderId="8" xfId="0" applyNumberFormat="1" applyFont="1" applyBorder="1" applyAlignment="1">
      <alignment horizontal="center" readingOrder="1"/>
    </xf>
    <xf numFmtId="167" fontId="0" fillId="0" borderId="0" xfId="0" applyNumberFormat="1" applyAlignment="1">
      <alignment horizontal="center"/>
    </xf>
    <xf numFmtId="168" fontId="4" fillId="0" borderId="6" xfId="0" applyNumberFormat="1" applyFont="1" applyBorder="1" applyAlignment="1">
      <alignment horizontal="center" readingOrder="1"/>
    </xf>
    <xf numFmtId="10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7" fontId="2" fillId="3" borderId="1" xfId="0" applyNumberFormat="1" applyFont="1" applyFill="1" applyBorder="1" applyAlignment="1">
      <alignment horizontal="center"/>
    </xf>
    <xf numFmtId="166" fontId="0" fillId="0" borderId="1" xfId="0" quotePrefix="1" applyNumberFormat="1" applyBorder="1" applyAlignment="1">
      <alignment horizontal="center"/>
    </xf>
    <xf numFmtId="2" fontId="0" fillId="0" borderId="1" xfId="0" quotePrefix="1" applyNumberFormat="1" applyBorder="1" applyAlignment="1">
      <alignment horizontal="center"/>
    </xf>
    <xf numFmtId="0" fontId="2" fillId="4" borderId="1" xfId="0" applyFont="1" applyFill="1" applyBorder="1"/>
    <xf numFmtId="0" fontId="2" fillId="4" borderId="1" xfId="0" applyFont="1" applyFill="1" applyBorder="1" applyAlignment="1">
      <alignment horizontal="center"/>
    </xf>
    <xf numFmtId="167" fontId="2" fillId="4" borderId="1" xfId="0" applyNumberFormat="1" applyFont="1" applyFill="1" applyBorder="1" applyAlignment="1">
      <alignment horizontal="center"/>
    </xf>
    <xf numFmtId="167" fontId="2" fillId="4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C2667-57AE-4136-ABEE-20878D098044}">
  <dimension ref="A1:M35"/>
  <sheetViews>
    <sheetView workbookViewId="0">
      <selection activeCell="D29" sqref="D29"/>
    </sheetView>
  </sheetViews>
  <sheetFormatPr defaultRowHeight="14.4" x14ac:dyDescent="0.3"/>
  <cols>
    <col min="1" max="1" width="44.6640625" customWidth="1"/>
    <col min="2" max="2" width="20.5546875" customWidth="1"/>
    <col min="6" max="6" width="19" style="2" customWidth="1"/>
    <col min="7" max="7" width="13.6640625" customWidth="1"/>
    <col min="8" max="8" width="11.5546875" customWidth="1"/>
    <col min="9" max="9" width="12.109375" customWidth="1"/>
    <col min="10" max="10" width="14" customWidth="1"/>
    <col min="11" max="11" width="18.88671875" customWidth="1"/>
    <col min="12" max="12" width="16.5546875" customWidth="1"/>
    <col min="13" max="13" width="15.88671875" customWidth="1"/>
    <col min="14" max="14" width="42.88671875" customWidth="1"/>
    <col min="15" max="15" width="30.33203125" customWidth="1"/>
    <col min="16" max="16" width="18.88671875" customWidth="1"/>
  </cols>
  <sheetData>
    <row r="1" spans="1:13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17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</row>
    <row r="2" spans="1:13" x14ac:dyDescent="0.3">
      <c r="A2" s="3">
        <v>1001</v>
      </c>
      <c r="B2" s="3" t="s">
        <v>13</v>
      </c>
      <c r="C2" s="3">
        <v>61</v>
      </c>
      <c r="D2" s="3">
        <v>48</v>
      </c>
      <c r="E2" s="3">
        <v>76</v>
      </c>
      <c r="F2" s="20">
        <v>43101</v>
      </c>
      <c r="G2" s="9">
        <f>AVERAGE(C2:E2)</f>
        <v>61.666666666666664</v>
      </c>
      <c r="H2" s="10" t="str">
        <f>IF(G2&gt;=90,"A+",IF(G2&gt;=80,"A",IF(G2&gt;=70,"B",IF(G2&gt;=60,"C","D"))))</f>
        <v>C</v>
      </c>
      <c r="I2" s="10" t="str">
        <f>IF(C2&gt;=50,"Pass","Fail")</f>
        <v>Pass</v>
      </c>
      <c r="J2" s="10" t="str">
        <f>IF(D2&gt;=50,"Pass","Fail")</f>
        <v>Fail</v>
      </c>
      <c r="K2" s="10" t="str">
        <f>IF(AND(C2&gt;80,D2&gt;80),"Excellent","Needs Improvement")</f>
        <v>Needs Improvement</v>
      </c>
      <c r="L2" s="10">
        <f>YEAR(F2)</f>
        <v>2018</v>
      </c>
      <c r="M2" s="10" t="str">
        <f>IF(G2&gt;=80,"Top Performer",IF(G2&gt;=60,"Average","Below Average"))</f>
        <v>Average</v>
      </c>
    </row>
    <row r="3" spans="1:13" x14ac:dyDescent="0.3">
      <c r="A3" s="3">
        <v>1002</v>
      </c>
      <c r="B3" s="3" t="s">
        <v>14</v>
      </c>
      <c r="C3" s="3">
        <v>78</v>
      </c>
      <c r="D3" s="3">
        <v>76</v>
      </c>
      <c r="E3" s="3">
        <v>70</v>
      </c>
      <c r="F3" s="22">
        <v>43281</v>
      </c>
      <c r="G3" s="9">
        <f t="shared" ref="G3:G21" si="0">AVERAGE(C3:E3)</f>
        <v>74.666666666666671</v>
      </c>
      <c r="H3" s="10" t="str">
        <f t="shared" ref="H3:H21" si="1">IF(G3&gt;=90,"A+",IF(G3&gt;=80,"A",IF(G3&gt;=70,"B",IF(G3&gt;=60,"C","D"))))</f>
        <v>B</v>
      </c>
      <c r="I3" s="10" t="str">
        <f t="shared" ref="I3:I21" si="2">IF(C3&gt;=50,"Pass","Fail")</f>
        <v>Pass</v>
      </c>
      <c r="J3" s="10" t="str">
        <f t="shared" ref="J3:J21" si="3">IF(D3&gt;=50,"Pass","Fail")</f>
        <v>Pass</v>
      </c>
      <c r="K3" s="10" t="str">
        <f t="shared" ref="K3:K21" si="4">IF(AND(C3&gt;80,D3&gt;80),"Excellent","Needs Improvement")</f>
        <v>Needs Improvement</v>
      </c>
      <c r="L3" s="10">
        <f t="shared" ref="L3:L21" si="5">YEAR(F3)</f>
        <v>2018</v>
      </c>
      <c r="M3" s="10" t="str">
        <f t="shared" ref="M3:M21" si="6">IF(G3&gt;=80,"Top Performer",IF(G3&gt;=60,"Average","Below Average"))</f>
        <v>Average</v>
      </c>
    </row>
    <row r="4" spans="1:13" x14ac:dyDescent="0.3">
      <c r="A4" s="3">
        <v>1003</v>
      </c>
      <c r="B4" s="3" t="s">
        <v>15</v>
      </c>
      <c r="C4" s="3">
        <v>97</v>
      </c>
      <c r="D4" s="3">
        <v>60</v>
      </c>
      <c r="E4" s="3">
        <v>51</v>
      </c>
      <c r="F4" s="22">
        <v>43461</v>
      </c>
      <c r="G4" s="9">
        <f t="shared" si="0"/>
        <v>69.333333333333329</v>
      </c>
      <c r="H4" s="10" t="str">
        <f t="shared" si="1"/>
        <v>C</v>
      </c>
      <c r="I4" s="10" t="str">
        <f t="shared" si="2"/>
        <v>Pass</v>
      </c>
      <c r="J4" s="10" t="str">
        <f t="shared" si="3"/>
        <v>Pass</v>
      </c>
      <c r="K4" s="10" t="str">
        <f t="shared" si="4"/>
        <v>Needs Improvement</v>
      </c>
      <c r="L4" s="10">
        <f t="shared" si="5"/>
        <v>2018</v>
      </c>
      <c r="M4" s="10" t="str">
        <f t="shared" si="6"/>
        <v>Average</v>
      </c>
    </row>
    <row r="5" spans="1:13" x14ac:dyDescent="0.3">
      <c r="A5" s="3">
        <v>1004</v>
      </c>
      <c r="B5" s="3" t="s">
        <v>16</v>
      </c>
      <c r="C5" s="3">
        <v>74</v>
      </c>
      <c r="D5" s="3">
        <v>55</v>
      </c>
      <c r="E5" s="3">
        <v>46</v>
      </c>
      <c r="F5" s="22">
        <v>43641</v>
      </c>
      <c r="G5" s="9">
        <f t="shared" si="0"/>
        <v>58.333333333333336</v>
      </c>
      <c r="H5" s="10" t="str">
        <f t="shared" si="1"/>
        <v>D</v>
      </c>
      <c r="I5" s="10" t="str">
        <f t="shared" si="2"/>
        <v>Pass</v>
      </c>
      <c r="J5" s="10" t="str">
        <f t="shared" si="3"/>
        <v>Pass</v>
      </c>
      <c r="K5" s="10" t="str">
        <f t="shared" si="4"/>
        <v>Needs Improvement</v>
      </c>
      <c r="L5" s="10">
        <f t="shared" si="5"/>
        <v>2019</v>
      </c>
      <c r="M5" s="10" t="str">
        <f t="shared" si="6"/>
        <v>Below Average</v>
      </c>
    </row>
    <row r="6" spans="1:13" x14ac:dyDescent="0.3">
      <c r="A6" s="3">
        <v>1005</v>
      </c>
      <c r="B6" s="3" t="s">
        <v>17</v>
      </c>
      <c r="C6" s="3">
        <v>68</v>
      </c>
      <c r="D6" s="3">
        <v>74</v>
      </c>
      <c r="E6" s="3">
        <v>84</v>
      </c>
      <c r="F6" s="22">
        <v>43821</v>
      </c>
      <c r="G6" s="9">
        <f t="shared" si="0"/>
        <v>75.333333333333329</v>
      </c>
      <c r="H6" s="10" t="str">
        <f t="shared" si="1"/>
        <v>B</v>
      </c>
      <c r="I6" s="10" t="str">
        <f t="shared" si="2"/>
        <v>Pass</v>
      </c>
      <c r="J6" s="10" t="str">
        <f t="shared" si="3"/>
        <v>Pass</v>
      </c>
      <c r="K6" s="10" t="str">
        <f t="shared" si="4"/>
        <v>Needs Improvement</v>
      </c>
      <c r="L6" s="10">
        <f t="shared" si="5"/>
        <v>2019</v>
      </c>
      <c r="M6" s="10" t="str">
        <f t="shared" si="6"/>
        <v>Average</v>
      </c>
    </row>
    <row r="7" spans="1:13" x14ac:dyDescent="0.3">
      <c r="A7" s="3">
        <v>1006</v>
      </c>
      <c r="B7" s="3" t="s">
        <v>18</v>
      </c>
      <c r="C7" s="3">
        <v>80</v>
      </c>
      <c r="D7" s="3">
        <v>70</v>
      </c>
      <c r="E7" s="3">
        <v>65</v>
      </c>
      <c r="F7" s="22">
        <v>44001</v>
      </c>
      <c r="G7" s="9">
        <f t="shared" si="0"/>
        <v>71.666666666666671</v>
      </c>
      <c r="H7" s="10" t="str">
        <f t="shared" si="1"/>
        <v>B</v>
      </c>
      <c r="I7" s="10" t="str">
        <f t="shared" si="2"/>
        <v>Pass</v>
      </c>
      <c r="J7" s="10" t="str">
        <f t="shared" si="3"/>
        <v>Pass</v>
      </c>
      <c r="K7" s="10" t="str">
        <f t="shared" si="4"/>
        <v>Needs Improvement</v>
      </c>
      <c r="L7" s="10">
        <f t="shared" si="5"/>
        <v>2020</v>
      </c>
      <c r="M7" s="10" t="str">
        <f t="shared" si="6"/>
        <v>Average</v>
      </c>
    </row>
    <row r="8" spans="1:13" x14ac:dyDescent="0.3">
      <c r="A8" s="3">
        <v>1007</v>
      </c>
      <c r="B8" s="3" t="s">
        <v>19</v>
      </c>
      <c r="C8" s="3">
        <v>75</v>
      </c>
      <c r="D8" s="3">
        <v>47</v>
      </c>
      <c r="E8" s="3">
        <v>78</v>
      </c>
      <c r="F8" s="22">
        <v>44181</v>
      </c>
      <c r="G8" s="9">
        <f t="shared" si="0"/>
        <v>66.666666666666671</v>
      </c>
      <c r="H8" s="10" t="str">
        <f t="shared" si="1"/>
        <v>C</v>
      </c>
      <c r="I8" s="10" t="str">
        <f t="shared" si="2"/>
        <v>Pass</v>
      </c>
      <c r="J8" s="10" t="str">
        <f t="shared" si="3"/>
        <v>Fail</v>
      </c>
      <c r="K8" s="10" t="str">
        <f t="shared" si="4"/>
        <v>Needs Improvement</v>
      </c>
      <c r="L8" s="10">
        <f t="shared" si="5"/>
        <v>2020</v>
      </c>
      <c r="M8" s="10" t="str">
        <f t="shared" si="6"/>
        <v>Average</v>
      </c>
    </row>
    <row r="9" spans="1:13" x14ac:dyDescent="0.3">
      <c r="A9" s="3">
        <v>1008</v>
      </c>
      <c r="B9" s="3" t="s">
        <v>20</v>
      </c>
      <c r="C9" s="3">
        <v>94</v>
      </c>
      <c r="D9" s="3">
        <v>67</v>
      </c>
      <c r="E9" s="3">
        <v>64</v>
      </c>
      <c r="F9" s="22">
        <v>44361</v>
      </c>
      <c r="G9" s="9">
        <f t="shared" si="0"/>
        <v>75</v>
      </c>
      <c r="H9" s="10" t="str">
        <f t="shared" si="1"/>
        <v>B</v>
      </c>
      <c r="I9" s="10" t="str">
        <f t="shared" si="2"/>
        <v>Pass</v>
      </c>
      <c r="J9" s="10" t="str">
        <f t="shared" si="3"/>
        <v>Pass</v>
      </c>
      <c r="K9" s="10" t="str">
        <f t="shared" si="4"/>
        <v>Needs Improvement</v>
      </c>
      <c r="L9" s="10">
        <f t="shared" si="5"/>
        <v>2021</v>
      </c>
      <c r="M9" s="10" t="str">
        <f t="shared" si="6"/>
        <v>Average</v>
      </c>
    </row>
    <row r="10" spans="1:13" x14ac:dyDescent="0.3">
      <c r="A10" s="3">
        <v>1009</v>
      </c>
      <c r="B10" s="3" t="s">
        <v>21</v>
      </c>
      <c r="C10" s="3">
        <v>41</v>
      </c>
      <c r="D10" s="3">
        <v>75</v>
      </c>
      <c r="E10" s="3">
        <v>56</v>
      </c>
      <c r="F10" s="22">
        <v>44541</v>
      </c>
      <c r="G10" s="9">
        <f t="shared" si="0"/>
        <v>57.333333333333336</v>
      </c>
      <c r="H10" s="10" t="str">
        <f t="shared" si="1"/>
        <v>D</v>
      </c>
      <c r="I10" s="10" t="str">
        <f>IF(C10&gt;=50,"Pass","Fail")</f>
        <v>Fail</v>
      </c>
      <c r="J10" s="10" t="str">
        <f t="shared" si="3"/>
        <v>Pass</v>
      </c>
      <c r="K10" s="10" t="str">
        <f t="shared" si="4"/>
        <v>Needs Improvement</v>
      </c>
      <c r="L10" s="10">
        <f t="shared" si="5"/>
        <v>2021</v>
      </c>
      <c r="M10" s="10" t="str">
        <f t="shared" si="6"/>
        <v>Below Average</v>
      </c>
    </row>
    <row r="11" spans="1:13" x14ac:dyDescent="0.3">
      <c r="A11" s="3">
        <v>1010</v>
      </c>
      <c r="B11" s="3" t="s">
        <v>22</v>
      </c>
      <c r="C11" s="3">
        <v>98</v>
      </c>
      <c r="D11" s="3">
        <v>54</v>
      </c>
      <c r="E11" s="3">
        <v>58</v>
      </c>
      <c r="F11" s="22">
        <v>44721</v>
      </c>
      <c r="G11" s="9">
        <f t="shared" si="0"/>
        <v>70</v>
      </c>
      <c r="H11" s="10" t="str">
        <f t="shared" si="1"/>
        <v>B</v>
      </c>
      <c r="I11" s="10" t="str">
        <f t="shared" si="2"/>
        <v>Pass</v>
      </c>
      <c r="J11" s="10" t="str">
        <f t="shared" si="3"/>
        <v>Pass</v>
      </c>
      <c r="K11" s="10" t="str">
        <f t="shared" si="4"/>
        <v>Needs Improvement</v>
      </c>
      <c r="L11" s="10">
        <f t="shared" si="5"/>
        <v>2022</v>
      </c>
      <c r="M11" s="10" t="str">
        <f t="shared" si="6"/>
        <v>Average</v>
      </c>
    </row>
    <row r="12" spans="1:13" x14ac:dyDescent="0.3">
      <c r="A12" s="3">
        <v>1011</v>
      </c>
      <c r="B12" s="3" t="s">
        <v>23</v>
      </c>
      <c r="C12" s="3">
        <v>73</v>
      </c>
      <c r="D12" s="3">
        <v>79</v>
      </c>
      <c r="E12" s="3">
        <v>53</v>
      </c>
      <c r="F12" s="22">
        <v>44901</v>
      </c>
      <c r="G12" s="9">
        <f t="shared" si="0"/>
        <v>68.333333333333329</v>
      </c>
      <c r="H12" s="10" t="str">
        <f t="shared" si="1"/>
        <v>C</v>
      </c>
      <c r="I12" s="10" t="str">
        <f t="shared" si="2"/>
        <v>Pass</v>
      </c>
      <c r="J12" s="10" t="str">
        <f t="shared" si="3"/>
        <v>Pass</v>
      </c>
      <c r="K12" s="10" t="str">
        <f t="shared" si="4"/>
        <v>Needs Improvement</v>
      </c>
      <c r="L12" s="10">
        <f t="shared" si="5"/>
        <v>2022</v>
      </c>
      <c r="M12" s="10" t="str">
        <f t="shared" si="6"/>
        <v>Average</v>
      </c>
    </row>
    <row r="13" spans="1:13" x14ac:dyDescent="0.3">
      <c r="A13" s="3">
        <v>1012</v>
      </c>
      <c r="B13" s="3" t="s">
        <v>24</v>
      </c>
      <c r="C13" s="3">
        <v>85</v>
      </c>
      <c r="D13" s="3">
        <v>89</v>
      </c>
      <c r="E13" s="3">
        <v>79</v>
      </c>
      <c r="F13" s="22">
        <v>45081</v>
      </c>
      <c r="G13" s="9">
        <f t="shared" si="0"/>
        <v>84.333333333333329</v>
      </c>
      <c r="H13" s="10" t="str">
        <f t="shared" si="1"/>
        <v>A</v>
      </c>
      <c r="I13" s="10" t="str">
        <f t="shared" si="2"/>
        <v>Pass</v>
      </c>
      <c r="J13" s="10" t="str">
        <f t="shared" si="3"/>
        <v>Pass</v>
      </c>
      <c r="K13" s="10" t="str">
        <f t="shared" si="4"/>
        <v>Excellent</v>
      </c>
      <c r="L13" s="10">
        <f t="shared" si="5"/>
        <v>2023</v>
      </c>
      <c r="M13" s="10" t="str">
        <f t="shared" si="6"/>
        <v>Top Performer</v>
      </c>
    </row>
    <row r="14" spans="1:13" x14ac:dyDescent="0.3">
      <c r="A14" s="3">
        <v>1013</v>
      </c>
      <c r="B14" s="3" t="s">
        <v>25</v>
      </c>
      <c r="C14" s="3">
        <v>98</v>
      </c>
      <c r="D14" s="3">
        <v>90</v>
      </c>
      <c r="E14" s="3">
        <v>97</v>
      </c>
      <c r="F14" s="22">
        <v>45261</v>
      </c>
      <c r="G14" s="9">
        <f t="shared" si="0"/>
        <v>95</v>
      </c>
      <c r="H14" s="10" t="str">
        <f t="shared" si="1"/>
        <v>A+</v>
      </c>
      <c r="I14" s="10" t="str">
        <f t="shared" si="2"/>
        <v>Pass</v>
      </c>
      <c r="J14" s="10" t="str">
        <f t="shared" si="3"/>
        <v>Pass</v>
      </c>
      <c r="K14" s="10" t="str">
        <f t="shared" si="4"/>
        <v>Excellent</v>
      </c>
      <c r="L14" s="10">
        <f t="shared" si="5"/>
        <v>2023</v>
      </c>
      <c r="M14" s="10" t="str">
        <f t="shared" si="6"/>
        <v>Top Performer</v>
      </c>
    </row>
    <row r="15" spans="1:13" x14ac:dyDescent="0.3">
      <c r="A15" s="3">
        <v>1014</v>
      </c>
      <c r="B15" s="3" t="s">
        <v>26</v>
      </c>
      <c r="C15" s="3">
        <v>93</v>
      </c>
      <c r="D15" s="3">
        <v>40</v>
      </c>
      <c r="E15" s="3">
        <v>44</v>
      </c>
      <c r="F15" s="22">
        <v>45441</v>
      </c>
      <c r="G15" s="9">
        <f t="shared" si="0"/>
        <v>59</v>
      </c>
      <c r="H15" s="10" t="str">
        <f t="shared" si="1"/>
        <v>D</v>
      </c>
      <c r="I15" s="10" t="str">
        <f t="shared" si="2"/>
        <v>Pass</v>
      </c>
      <c r="J15" s="10" t="str">
        <f t="shared" si="3"/>
        <v>Fail</v>
      </c>
      <c r="K15" s="10" t="str">
        <f t="shared" si="4"/>
        <v>Needs Improvement</v>
      </c>
      <c r="L15" s="10">
        <f t="shared" si="5"/>
        <v>2024</v>
      </c>
      <c r="M15" s="10" t="str">
        <f t="shared" si="6"/>
        <v>Below Average</v>
      </c>
    </row>
    <row r="16" spans="1:13" x14ac:dyDescent="0.3">
      <c r="A16" s="3">
        <v>1015</v>
      </c>
      <c r="B16" s="3" t="s">
        <v>27</v>
      </c>
      <c r="C16" s="3">
        <v>70</v>
      </c>
      <c r="D16" s="3">
        <v>51</v>
      </c>
      <c r="E16" s="3">
        <v>75</v>
      </c>
      <c r="F16" s="22">
        <v>45621</v>
      </c>
      <c r="G16" s="9">
        <f t="shared" si="0"/>
        <v>65.333333333333329</v>
      </c>
      <c r="H16" s="10" t="str">
        <f t="shared" si="1"/>
        <v>C</v>
      </c>
      <c r="I16" s="10" t="str">
        <f t="shared" si="2"/>
        <v>Pass</v>
      </c>
      <c r="J16" s="10" t="str">
        <f t="shared" si="3"/>
        <v>Pass</v>
      </c>
      <c r="K16" s="10" t="str">
        <f t="shared" si="4"/>
        <v>Needs Improvement</v>
      </c>
      <c r="L16" s="10">
        <f t="shared" si="5"/>
        <v>2024</v>
      </c>
      <c r="M16" s="10" t="str">
        <f t="shared" si="6"/>
        <v>Average</v>
      </c>
    </row>
    <row r="17" spans="1:13" x14ac:dyDescent="0.3">
      <c r="A17" s="3">
        <v>1016</v>
      </c>
      <c r="B17" s="3" t="s">
        <v>28</v>
      </c>
      <c r="C17" s="3">
        <v>98</v>
      </c>
      <c r="D17" s="3">
        <v>77</v>
      </c>
      <c r="E17" s="3">
        <v>60</v>
      </c>
      <c r="F17" s="22">
        <v>45801</v>
      </c>
      <c r="G17" s="9">
        <f t="shared" si="0"/>
        <v>78.333333333333329</v>
      </c>
      <c r="H17" s="10" t="str">
        <f t="shared" si="1"/>
        <v>B</v>
      </c>
      <c r="I17" s="10" t="str">
        <f t="shared" si="2"/>
        <v>Pass</v>
      </c>
      <c r="J17" s="10" t="str">
        <f t="shared" si="3"/>
        <v>Pass</v>
      </c>
      <c r="K17" s="10" t="str">
        <f t="shared" si="4"/>
        <v>Needs Improvement</v>
      </c>
      <c r="L17" s="10">
        <f t="shared" si="5"/>
        <v>2025</v>
      </c>
      <c r="M17" s="10" t="str">
        <f t="shared" si="6"/>
        <v>Average</v>
      </c>
    </row>
    <row r="18" spans="1:13" x14ac:dyDescent="0.3">
      <c r="A18" s="3">
        <v>1017</v>
      </c>
      <c r="B18" s="3" t="s">
        <v>29</v>
      </c>
      <c r="C18" s="3">
        <v>66</v>
      </c>
      <c r="D18" s="3">
        <v>59</v>
      </c>
      <c r="E18" s="3">
        <v>40</v>
      </c>
      <c r="F18" s="22">
        <v>45981</v>
      </c>
      <c r="G18" s="9">
        <f t="shared" si="0"/>
        <v>55</v>
      </c>
      <c r="H18" s="10" t="str">
        <f t="shared" si="1"/>
        <v>D</v>
      </c>
      <c r="I18" s="10" t="str">
        <f>IF(C18&gt;=50,"Pass","Fail")</f>
        <v>Pass</v>
      </c>
      <c r="J18" s="10" t="str">
        <f t="shared" si="3"/>
        <v>Pass</v>
      </c>
      <c r="K18" s="10" t="str">
        <f t="shared" si="4"/>
        <v>Needs Improvement</v>
      </c>
      <c r="L18" s="10">
        <f t="shared" si="5"/>
        <v>2025</v>
      </c>
      <c r="M18" s="10" t="str">
        <f t="shared" si="6"/>
        <v>Below Average</v>
      </c>
    </row>
    <row r="19" spans="1:13" x14ac:dyDescent="0.3">
      <c r="A19" s="3">
        <v>1018</v>
      </c>
      <c r="B19" s="3" t="s">
        <v>30</v>
      </c>
      <c r="C19" s="3">
        <v>82</v>
      </c>
      <c r="D19" s="3">
        <v>48</v>
      </c>
      <c r="E19" s="3">
        <v>79</v>
      </c>
      <c r="F19" s="22">
        <v>46161</v>
      </c>
      <c r="G19" s="9">
        <f t="shared" si="0"/>
        <v>69.666666666666671</v>
      </c>
      <c r="H19" s="10" t="str">
        <f t="shared" si="1"/>
        <v>C</v>
      </c>
      <c r="I19" s="10" t="str">
        <f t="shared" si="2"/>
        <v>Pass</v>
      </c>
      <c r="J19" s="10" t="str">
        <f t="shared" si="3"/>
        <v>Fail</v>
      </c>
      <c r="K19" s="10" t="str">
        <f t="shared" si="4"/>
        <v>Needs Improvement</v>
      </c>
      <c r="L19" s="10">
        <f t="shared" si="5"/>
        <v>2026</v>
      </c>
      <c r="M19" s="10" t="str">
        <f t="shared" si="6"/>
        <v>Average</v>
      </c>
    </row>
    <row r="20" spans="1:13" x14ac:dyDescent="0.3">
      <c r="A20" s="3">
        <v>1019</v>
      </c>
      <c r="B20" s="3" t="s">
        <v>31</v>
      </c>
      <c r="C20" s="3">
        <v>90</v>
      </c>
      <c r="D20" s="3">
        <v>78</v>
      </c>
      <c r="E20" s="3">
        <v>60</v>
      </c>
      <c r="F20" s="22">
        <v>46341</v>
      </c>
      <c r="G20" s="9">
        <f t="shared" si="0"/>
        <v>76</v>
      </c>
      <c r="H20" s="10" t="str">
        <f t="shared" si="1"/>
        <v>B</v>
      </c>
      <c r="I20" s="10" t="str">
        <f t="shared" si="2"/>
        <v>Pass</v>
      </c>
      <c r="J20" s="10" t="str">
        <f t="shared" si="3"/>
        <v>Pass</v>
      </c>
      <c r="K20" s="10" t="str">
        <f t="shared" si="4"/>
        <v>Needs Improvement</v>
      </c>
      <c r="L20" s="10">
        <f t="shared" si="5"/>
        <v>2026</v>
      </c>
      <c r="M20" s="10" t="str">
        <f t="shared" si="6"/>
        <v>Average</v>
      </c>
    </row>
    <row r="21" spans="1:13" x14ac:dyDescent="0.3">
      <c r="A21" s="3">
        <v>1020</v>
      </c>
      <c r="B21" s="3" t="s">
        <v>32</v>
      </c>
      <c r="C21" s="3">
        <v>83</v>
      </c>
      <c r="D21" s="3">
        <v>92</v>
      </c>
      <c r="E21" s="3">
        <v>55</v>
      </c>
      <c r="F21" s="22">
        <v>46521</v>
      </c>
      <c r="G21" s="9">
        <f t="shared" si="0"/>
        <v>76.666666666666671</v>
      </c>
      <c r="H21" s="10" t="str">
        <f t="shared" si="1"/>
        <v>B</v>
      </c>
      <c r="I21" s="10" t="str">
        <f t="shared" si="2"/>
        <v>Pass</v>
      </c>
      <c r="J21" s="10" t="str">
        <f t="shared" si="3"/>
        <v>Pass</v>
      </c>
      <c r="K21" s="10" t="str">
        <f t="shared" si="4"/>
        <v>Excellent</v>
      </c>
      <c r="L21" s="10">
        <f t="shared" si="5"/>
        <v>2027</v>
      </c>
      <c r="M21" s="10" t="str">
        <f t="shared" si="6"/>
        <v>Average</v>
      </c>
    </row>
    <row r="22" spans="1:13" x14ac:dyDescent="0.3">
      <c r="A22" s="1"/>
      <c r="B22" s="1"/>
      <c r="C22" s="1"/>
      <c r="D22" s="1"/>
      <c r="E22" s="1"/>
      <c r="F22" s="18"/>
      <c r="G22" s="1"/>
      <c r="H22" s="1"/>
      <c r="I22" s="1"/>
      <c r="J22" s="1"/>
      <c r="K22" s="1"/>
      <c r="L22" s="1"/>
      <c r="M22" s="1"/>
    </row>
    <row r="23" spans="1:13" x14ac:dyDescent="0.3">
      <c r="A23" s="1"/>
      <c r="B23" s="1"/>
      <c r="C23" s="1"/>
      <c r="D23" s="1"/>
      <c r="E23" s="1"/>
      <c r="F23" s="18"/>
      <c r="G23" s="1"/>
      <c r="H23" s="1"/>
      <c r="I23" s="1"/>
      <c r="J23" s="1"/>
      <c r="K23" s="1"/>
      <c r="L23" s="1"/>
      <c r="M23" s="1"/>
    </row>
    <row r="24" spans="1:13" x14ac:dyDescent="0.3">
      <c r="A24" s="11" t="s">
        <v>33</v>
      </c>
      <c r="B24" s="11" t="s">
        <v>34</v>
      </c>
      <c r="C24" s="1"/>
      <c r="D24" s="1"/>
      <c r="E24" s="1"/>
      <c r="F24" s="18"/>
      <c r="G24" s="1"/>
      <c r="H24" s="1"/>
      <c r="I24" s="1"/>
      <c r="J24" s="1"/>
      <c r="K24" s="1"/>
      <c r="L24" s="1"/>
      <c r="M24" s="1"/>
    </row>
    <row r="25" spans="1:13" ht="15" customHeight="1" x14ac:dyDescent="0.5">
      <c r="A25" s="10" t="s">
        <v>35</v>
      </c>
      <c r="B25" s="10">
        <f>COUNTIF(C2:C21,"&gt;60")</f>
        <v>19</v>
      </c>
      <c r="C25" s="1"/>
      <c r="D25" s="1"/>
      <c r="E25" s="7"/>
      <c r="F25" s="19"/>
      <c r="G25" s="7"/>
      <c r="H25" s="7"/>
      <c r="I25" s="7"/>
      <c r="J25" s="7"/>
      <c r="K25" s="7"/>
      <c r="L25" s="1"/>
      <c r="M25" s="1"/>
    </row>
    <row r="26" spans="1:13" ht="15" customHeight="1" x14ac:dyDescent="0.5">
      <c r="A26" s="10" t="s">
        <v>36</v>
      </c>
      <c r="B26" s="10">
        <f>COUNTIFS(C2:C21,"&gt;80",D2:D21,"&gt;80")</f>
        <v>3</v>
      </c>
      <c r="C26" s="1"/>
      <c r="D26" s="1"/>
      <c r="E26" s="7"/>
      <c r="F26" s="19"/>
      <c r="G26" s="7"/>
      <c r="H26" s="7"/>
      <c r="I26" s="7"/>
      <c r="J26" s="7"/>
      <c r="K26" s="7"/>
      <c r="L26" s="1"/>
      <c r="M26" s="1"/>
    </row>
    <row r="27" spans="1:13" ht="15" customHeight="1" x14ac:dyDescent="0.5">
      <c r="A27" s="10" t="s">
        <v>37</v>
      </c>
      <c r="B27" s="9">
        <f>AVERAGEIF(G2:G21,"&gt;60",G2:G21)</f>
        <v>73.625000000000014</v>
      </c>
      <c r="C27" s="1"/>
      <c r="D27" s="1"/>
      <c r="E27" s="7"/>
      <c r="F27" s="19"/>
      <c r="G27" s="7"/>
      <c r="H27" s="7"/>
      <c r="I27" s="7"/>
      <c r="J27" s="21"/>
      <c r="K27" s="7"/>
      <c r="L27" s="1"/>
      <c r="M27" s="1"/>
    </row>
    <row r="28" spans="1:13" x14ac:dyDescent="0.3">
      <c r="A28" s="10" t="s">
        <v>38</v>
      </c>
      <c r="B28" s="10">
        <f>COUNTA(B2:B21)</f>
        <v>20</v>
      </c>
      <c r="C28" s="1"/>
      <c r="D28" s="1"/>
      <c r="E28" s="1"/>
      <c r="F28" s="18"/>
      <c r="G28" s="1"/>
      <c r="H28" s="1"/>
      <c r="I28" s="1"/>
      <c r="J28" s="1"/>
      <c r="K28" s="1"/>
      <c r="L28" s="1"/>
      <c r="M28" s="1"/>
    </row>
    <row r="29" spans="1:13" x14ac:dyDescent="0.3">
      <c r="A29" s="10" t="s">
        <v>39</v>
      </c>
      <c r="B29" s="12">
        <f>MAX(C2:C21)</f>
        <v>98</v>
      </c>
      <c r="C29" s="1"/>
      <c r="D29" s="1"/>
      <c r="E29" s="1"/>
      <c r="F29" s="18"/>
      <c r="G29" s="1"/>
      <c r="H29" s="1"/>
      <c r="I29" s="1"/>
      <c r="J29" s="1"/>
      <c r="K29" s="1"/>
      <c r="L29" s="1"/>
      <c r="M29" s="1"/>
    </row>
    <row r="30" spans="1:13" x14ac:dyDescent="0.3">
      <c r="A30" s="10" t="s">
        <v>40</v>
      </c>
      <c r="B30" s="13">
        <f>MIN(C2:C21)</f>
        <v>41</v>
      </c>
      <c r="C30" s="1"/>
      <c r="D30" s="1"/>
      <c r="E30" s="1"/>
      <c r="F30" s="18"/>
      <c r="G30" s="1"/>
      <c r="H30" s="1"/>
      <c r="I30" s="1"/>
      <c r="J30" s="1"/>
      <c r="K30" s="1"/>
      <c r="L30" s="1"/>
      <c r="M30" s="1"/>
    </row>
    <row r="31" spans="1:13" x14ac:dyDescent="0.3">
      <c r="B31" s="6"/>
    </row>
    <row r="32" spans="1:13" x14ac:dyDescent="0.3">
      <c r="B32" s="6"/>
    </row>
    <row r="33" spans="2:2" x14ac:dyDescent="0.3">
      <c r="B33" s="6"/>
    </row>
    <row r="34" spans="2:2" x14ac:dyDescent="0.3">
      <c r="B34" s="6"/>
    </row>
    <row r="35" spans="2:2" x14ac:dyDescent="0.3">
      <c r="B35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563CA-169B-49D0-B980-022CF2393D7A}">
  <dimension ref="A1:N21"/>
  <sheetViews>
    <sheetView workbookViewId="0">
      <selection activeCell="N16" sqref="N16"/>
    </sheetView>
  </sheetViews>
  <sheetFormatPr defaultRowHeight="14.4" x14ac:dyDescent="0.3"/>
  <cols>
    <col min="1" max="1" width="12.109375" customWidth="1"/>
    <col min="2" max="2" width="13" customWidth="1"/>
    <col min="3" max="3" width="11.33203125" customWidth="1"/>
    <col min="4" max="4" width="14.33203125" style="24" customWidth="1"/>
    <col min="5" max="5" width="17.6640625" customWidth="1"/>
    <col min="6" max="6" width="12.5546875" customWidth="1"/>
    <col min="7" max="7" width="13.5546875" customWidth="1"/>
    <col min="8" max="8" width="10.88671875" customWidth="1"/>
    <col min="9" max="9" width="15.109375" customWidth="1"/>
    <col min="11" max="11" width="16.88671875" customWidth="1"/>
    <col min="13" max="13" width="17" customWidth="1"/>
    <col min="14" max="14" width="16" style="24" customWidth="1"/>
  </cols>
  <sheetData>
    <row r="1" spans="1:14" x14ac:dyDescent="0.3">
      <c r="A1" s="11" t="s">
        <v>41</v>
      </c>
      <c r="B1" s="11" t="s">
        <v>1</v>
      </c>
      <c r="C1" s="11" t="s">
        <v>42</v>
      </c>
      <c r="D1" s="43" t="s">
        <v>43</v>
      </c>
      <c r="E1" s="27" t="s">
        <v>44</v>
      </c>
      <c r="F1" s="11" t="s">
        <v>45</v>
      </c>
      <c r="G1" s="11" t="s">
        <v>46</v>
      </c>
      <c r="H1" s="11" t="s">
        <v>47</v>
      </c>
      <c r="I1" s="11" t="s">
        <v>48</v>
      </c>
      <c r="J1" s="11" t="s">
        <v>49</v>
      </c>
      <c r="K1" s="11" t="s">
        <v>50</v>
      </c>
      <c r="M1" s="11" t="s">
        <v>51</v>
      </c>
      <c r="N1" s="43" t="s">
        <v>52</v>
      </c>
    </row>
    <row r="2" spans="1:14" x14ac:dyDescent="0.3">
      <c r="A2" s="10">
        <v>3001</v>
      </c>
      <c r="B2" s="10" t="s">
        <v>53</v>
      </c>
      <c r="C2" s="10" t="s">
        <v>54</v>
      </c>
      <c r="D2" s="37">
        <v>87667</v>
      </c>
      <c r="E2" s="28">
        <v>42005</v>
      </c>
      <c r="F2" s="10">
        <f>YEAR(E2)</f>
        <v>2015</v>
      </c>
      <c r="G2" s="10" t="str">
        <f>TEXT(E2,"mmmm")</f>
        <v>January</v>
      </c>
      <c r="H2" s="10">
        <f ca="1">IF(E2&gt;TODAY(),"Not Joined",DATEDIF(E2,TODAY(),"Y"))</f>
        <v>11</v>
      </c>
      <c r="I2" s="10" t="str">
        <f>IF(D2&gt;=100000,"High Salary",IF(D2&gt;=60000,"Medium Salary","Low Salary"))</f>
        <v>Medium Salary</v>
      </c>
      <c r="J2" s="10">
        <f>IF(D2&gt;=80000,D2*10%,D2*5%)</f>
        <v>8766.7000000000007</v>
      </c>
      <c r="K2" s="10" t="str">
        <f>IF(OR(C2="IT",C2="Finance"),"Core Department","Other Department")</f>
        <v>Core Department</v>
      </c>
      <c r="M2" s="10">
        <v>3018</v>
      </c>
      <c r="N2" s="37">
        <f>_xlfn.XLOOKUP(M2,A2:A21,D2:D21,"Not Found")</f>
        <v>116284</v>
      </c>
    </row>
    <row r="3" spans="1:14" x14ac:dyDescent="0.3">
      <c r="A3" s="10">
        <v>3002</v>
      </c>
      <c r="B3" s="10" t="s">
        <v>55</v>
      </c>
      <c r="C3" s="10" t="s">
        <v>54</v>
      </c>
      <c r="D3" s="37">
        <v>31943</v>
      </c>
      <c r="E3" s="28">
        <v>42255</v>
      </c>
      <c r="F3" s="10">
        <f t="shared" ref="F3:F21" si="0">YEAR(E3)</f>
        <v>2015</v>
      </c>
      <c r="G3" s="10" t="str">
        <f t="shared" ref="G3:G21" si="1">TEXT(E3,"mmmm")</f>
        <v>September</v>
      </c>
      <c r="H3" s="10">
        <f t="shared" ref="H3:H21" ca="1" si="2">IF(E3&gt;TODAY(),"Not Joined",DATEDIF(E3,TODAY(),"Y"))</f>
        <v>11</v>
      </c>
      <c r="I3" s="10" t="str">
        <f t="shared" ref="I3:I21" si="3">IF(D3&gt;=100000,"High Salary",IF(D3&gt;=60000,"Medium Salary","Low Salary"))</f>
        <v>Low Salary</v>
      </c>
      <c r="J3" s="10">
        <f t="shared" ref="J3:J21" si="4">IF(D3&gt;=80000,D3*10%,D3*5%)</f>
        <v>1597.15</v>
      </c>
      <c r="K3" s="10" t="str">
        <f t="shared" ref="K3:K21" si="5">IF(OR(C3="IT",C3="Finance"),"Core Department","Other Department")</f>
        <v>Core Department</v>
      </c>
      <c r="M3" s="10">
        <v>3015</v>
      </c>
      <c r="N3" s="37">
        <f>_xlfn.XLOOKUP(M3,A3:A22,D3:D22,"Not Found")</f>
        <v>63297</v>
      </c>
    </row>
    <row r="4" spans="1:14" x14ac:dyDescent="0.3">
      <c r="A4" s="10">
        <v>3003</v>
      </c>
      <c r="B4" s="10" t="s">
        <v>56</v>
      </c>
      <c r="C4" s="10" t="s">
        <v>57</v>
      </c>
      <c r="D4" s="37">
        <v>63374</v>
      </c>
      <c r="E4" s="28">
        <v>42505</v>
      </c>
      <c r="F4" s="10">
        <f t="shared" si="0"/>
        <v>2016</v>
      </c>
      <c r="G4" s="10" t="str">
        <f t="shared" si="1"/>
        <v>May</v>
      </c>
      <c r="H4" s="10">
        <f t="shared" ca="1" si="2"/>
        <v>10</v>
      </c>
      <c r="I4" s="10" t="str">
        <f t="shared" si="3"/>
        <v>Medium Salary</v>
      </c>
      <c r="J4" s="10">
        <f t="shared" si="4"/>
        <v>3168.7000000000003</v>
      </c>
      <c r="K4" s="10" t="str">
        <f t="shared" si="5"/>
        <v>Other Department</v>
      </c>
    </row>
    <row r="5" spans="1:14" x14ac:dyDescent="0.3">
      <c r="A5" s="10">
        <v>3004</v>
      </c>
      <c r="B5" s="10" t="s">
        <v>58</v>
      </c>
      <c r="C5" s="10" t="s">
        <v>54</v>
      </c>
      <c r="D5" s="37">
        <v>109972</v>
      </c>
      <c r="E5" s="28">
        <v>42755</v>
      </c>
      <c r="F5" s="10">
        <f t="shared" si="0"/>
        <v>2017</v>
      </c>
      <c r="G5" s="10" t="str">
        <f t="shared" si="1"/>
        <v>January</v>
      </c>
      <c r="H5" s="10">
        <f t="shared" ca="1" si="2"/>
        <v>9</v>
      </c>
      <c r="I5" s="10" t="str">
        <f t="shared" si="3"/>
        <v>High Salary</v>
      </c>
      <c r="J5" s="10">
        <f t="shared" si="4"/>
        <v>10997.2</v>
      </c>
      <c r="K5" s="10" t="str">
        <f t="shared" si="5"/>
        <v>Core Department</v>
      </c>
    </row>
    <row r="6" spans="1:14" x14ac:dyDescent="0.3">
      <c r="A6" s="10">
        <v>3005</v>
      </c>
      <c r="B6" s="10" t="s">
        <v>59</v>
      </c>
      <c r="C6" s="10" t="s">
        <v>60</v>
      </c>
      <c r="D6" s="37">
        <v>54149</v>
      </c>
      <c r="E6" s="28">
        <v>43005</v>
      </c>
      <c r="F6" s="10">
        <f t="shared" si="0"/>
        <v>2017</v>
      </c>
      <c r="G6" s="10" t="str">
        <f t="shared" si="1"/>
        <v>September</v>
      </c>
      <c r="H6" s="10">
        <f t="shared" ca="1" si="2"/>
        <v>9</v>
      </c>
      <c r="I6" s="10" t="str">
        <f t="shared" si="3"/>
        <v>Low Salary</v>
      </c>
      <c r="J6" s="10">
        <f t="shared" si="4"/>
        <v>2707.4500000000003</v>
      </c>
      <c r="K6" s="10" t="str">
        <f t="shared" si="5"/>
        <v>Core Department</v>
      </c>
    </row>
    <row r="7" spans="1:14" x14ac:dyDescent="0.3">
      <c r="A7" s="10">
        <v>3006</v>
      </c>
      <c r="B7" s="10" t="s">
        <v>61</v>
      </c>
      <c r="C7" s="10" t="s">
        <v>60</v>
      </c>
      <c r="D7" s="37">
        <v>78698</v>
      </c>
      <c r="E7" s="28">
        <v>43255</v>
      </c>
      <c r="F7" s="10">
        <f t="shared" si="0"/>
        <v>2018</v>
      </c>
      <c r="G7" s="10" t="str">
        <f t="shared" si="1"/>
        <v>June</v>
      </c>
      <c r="H7" s="10">
        <f t="shared" ca="1" si="2"/>
        <v>8</v>
      </c>
      <c r="I7" s="10" t="str">
        <f t="shared" si="3"/>
        <v>Medium Salary</v>
      </c>
      <c r="J7" s="10">
        <f t="shared" si="4"/>
        <v>3934.9</v>
      </c>
      <c r="K7" s="10" t="str">
        <f t="shared" si="5"/>
        <v>Core Department</v>
      </c>
    </row>
    <row r="8" spans="1:14" x14ac:dyDescent="0.3">
      <c r="A8" s="10">
        <v>3007</v>
      </c>
      <c r="B8" s="10" t="s">
        <v>62</v>
      </c>
      <c r="C8" s="10" t="s">
        <v>63</v>
      </c>
      <c r="D8" s="37">
        <v>35960</v>
      </c>
      <c r="E8" s="28">
        <v>43505</v>
      </c>
      <c r="F8" s="10">
        <f t="shared" si="0"/>
        <v>2019</v>
      </c>
      <c r="G8" s="10" t="str">
        <f t="shared" si="1"/>
        <v>February</v>
      </c>
      <c r="H8" s="10">
        <f t="shared" ca="1" si="2"/>
        <v>7</v>
      </c>
      <c r="I8" s="10" t="str">
        <f t="shared" si="3"/>
        <v>Low Salary</v>
      </c>
      <c r="J8" s="10">
        <f t="shared" si="4"/>
        <v>1798</v>
      </c>
      <c r="K8" s="10" t="str">
        <f t="shared" si="5"/>
        <v>Other Department</v>
      </c>
    </row>
    <row r="9" spans="1:14" x14ac:dyDescent="0.3">
      <c r="A9" s="10">
        <v>3008</v>
      </c>
      <c r="B9" s="10" t="s">
        <v>64</v>
      </c>
      <c r="C9" s="10" t="s">
        <v>60</v>
      </c>
      <c r="D9" s="37">
        <v>91659</v>
      </c>
      <c r="E9" s="28">
        <v>43755</v>
      </c>
      <c r="F9" s="10">
        <f t="shared" si="0"/>
        <v>2019</v>
      </c>
      <c r="G9" s="10" t="str">
        <f t="shared" si="1"/>
        <v>October</v>
      </c>
      <c r="H9" s="10">
        <f t="shared" ca="1" si="2"/>
        <v>6</v>
      </c>
      <c r="I9" s="10" t="str">
        <f t="shared" si="3"/>
        <v>Medium Salary</v>
      </c>
      <c r="J9" s="10">
        <f t="shared" si="4"/>
        <v>9165.9</v>
      </c>
      <c r="K9" s="10" t="str">
        <f t="shared" si="5"/>
        <v>Core Department</v>
      </c>
    </row>
    <row r="10" spans="1:14" x14ac:dyDescent="0.3">
      <c r="A10" s="10">
        <v>3009</v>
      </c>
      <c r="B10" s="10" t="s">
        <v>65</v>
      </c>
      <c r="C10" s="10" t="s">
        <v>60</v>
      </c>
      <c r="D10" s="37">
        <v>90423</v>
      </c>
      <c r="E10" s="28">
        <v>44005</v>
      </c>
      <c r="F10" s="10">
        <f t="shared" si="0"/>
        <v>2020</v>
      </c>
      <c r="G10" s="10" t="str">
        <f t="shared" si="1"/>
        <v>June</v>
      </c>
      <c r="H10" s="10">
        <f t="shared" ca="1" si="2"/>
        <v>6</v>
      </c>
      <c r="I10" s="10" t="str">
        <f t="shared" si="3"/>
        <v>Medium Salary</v>
      </c>
      <c r="J10" s="10">
        <f t="shared" si="4"/>
        <v>9042.3000000000011</v>
      </c>
      <c r="K10" s="10" t="str">
        <f t="shared" si="5"/>
        <v>Core Department</v>
      </c>
    </row>
    <row r="11" spans="1:14" x14ac:dyDescent="0.3">
      <c r="A11" s="10">
        <v>3010</v>
      </c>
      <c r="B11" s="10" t="s">
        <v>66</v>
      </c>
      <c r="C11" s="10" t="s">
        <v>57</v>
      </c>
      <c r="D11" s="37">
        <v>107877</v>
      </c>
      <c r="E11" s="28">
        <v>44255</v>
      </c>
      <c r="F11" s="10">
        <f t="shared" si="0"/>
        <v>2021</v>
      </c>
      <c r="G11" s="10" t="str">
        <f t="shared" si="1"/>
        <v>February</v>
      </c>
      <c r="H11" s="10">
        <f t="shared" ca="1" si="2"/>
        <v>5</v>
      </c>
      <c r="I11" s="10" t="str">
        <f t="shared" si="3"/>
        <v>High Salary</v>
      </c>
      <c r="J11" s="10">
        <f t="shared" si="4"/>
        <v>10787.7</v>
      </c>
      <c r="K11" s="10" t="str">
        <f t="shared" si="5"/>
        <v>Other Department</v>
      </c>
    </row>
    <row r="12" spans="1:14" x14ac:dyDescent="0.3">
      <c r="A12" s="10">
        <v>3011</v>
      </c>
      <c r="B12" s="10" t="s">
        <v>67</v>
      </c>
      <c r="C12" s="10" t="s">
        <v>54</v>
      </c>
      <c r="D12" s="37">
        <v>107634</v>
      </c>
      <c r="E12" s="28">
        <v>44505</v>
      </c>
      <c r="F12" s="10">
        <f t="shared" si="0"/>
        <v>2021</v>
      </c>
      <c r="G12" s="10" t="str">
        <f t="shared" si="1"/>
        <v>November</v>
      </c>
      <c r="H12" s="10">
        <f t="shared" ca="1" si="2"/>
        <v>4</v>
      </c>
      <c r="I12" s="10" t="str">
        <f t="shared" si="3"/>
        <v>High Salary</v>
      </c>
      <c r="J12" s="10">
        <f t="shared" si="4"/>
        <v>10763.400000000001</v>
      </c>
      <c r="K12" s="10" t="str">
        <f t="shared" si="5"/>
        <v>Core Department</v>
      </c>
    </row>
    <row r="13" spans="1:14" x14ac:dyDescent="0.3">
      <c r="A13" s="10">
        <v>3012</v>
      </c>
      <c r="B13" s="10" t="s">
        <v>68</v>
      </c>
      <c r="C13" s="10" t="s">
        <v>54</v>
      </c>
      <c r="D13" s="37">
        <v>35226</v>
      </c>
      <c r="E13" s="28">
        <v>44755</v>
      </c>
      <c r="F13" s="10">
        <f t="shared" si="0"/>
        <v>2022</v>
      </c>
      <c r="G13" s="10" t="str">
        <f t="shared" si="1"/>
        <v>July</v>
      </c>
      <c r="H13" s="10">
        <f t="shared" ca="1" si="2"/>
        <v>4</v>
      </c>
      <c r="I13" s="10" t="str">
        <f t="shared" si="3"/>
        <v>Low Salary</v>
      </c>
      <c r="J13" s="10">
        <f t="shared" si="4"/>
        <v>1761.3000000000002</v>
      </c>
      <c r="K13" s="10" t="str">
        <f t="shared" si="5"/>
        <v>Core Department</v>
      </c>
    </row>
    <row r="14" spans="1:14" x14ac:dyDescent="0.3">
      <c r="A14" s="10">
        <v>3013</v>
      </c>
      <c r="B14" s="10" t="s">
        <v>69</v>
      </c>
      <c r="C14" s="10" t="s">
        <v>57</v>
      </c>
      <c r="D14" s="37">
        <v>40872</v>
      </c>
      <c r="E14" s="28">
        <v>44958</v>
      </c>
      <c r="F14" s="10">
        <f t="shared" si="0"/>
        <v>2023</v>
      </c>
      <c r="G14" s="10" t="str">
        <f t="shared" si="1"/>
        <v>February</v>
      </c>
      <c r="H14" s="10">
        <f t="shared" ca="1" si="2"/>
        <v>3</v>
      </c>
      <c r="I14" s="10" t="str">
        <f t="shared" si="3"/>
        <v>Low Salary</v>
      </c>
      <c r="J14" s="10">
        <f t="shared" si="4"/>
        <v>2043.6000000000001</v>
      </c>
      <c r="K14" s="10" t="str">
        <f t="shared" si="5"/>
        <v>Other Department</v>
      </c>
    </row>
    <row r="15" spans="1:14" x14ac:dyDescent="0.3">
      <c r="A15" s="10">
        <v>3014</v>
      </c>
      <c r="B15" s="10" t="s">
        <v>70</v>
      </c>
      <c r="C15" s="10" t="s">
        <v>57</v>
      </c>
      <c r="D15" s="37">
        <v>55378</v>
      </c>
      <c r="E15" s="28">
        <v>45255</v>
      </c>
      <c r="F15" s="10">
        <f t="shared" si="0"/>
        <v>2023</v>
      </c>
      <c r="G15" s="10" t="str">
        <f t="shared" si="1"/>
        <v>November</v>
      </c>
      <c r="H15" s="10">
        <f t="shared" ca="1" si="2"/>
        <v>2</v>
      </c>
      <c r="I15" s="10" t="str">
        <f t="shared" si="3"/>
        <v>Low Salary</v>
      </c>
      <c r="J15" s="10">
        <f t="shared" si="4"/>
        <v>2768.9</v>
      </c>
      <c r="K15" s="10" t="str">
        <f t="shared" si="5"/>
        <v>Other Department</v>
      </c>
    </row>
    <row r="16" spans="1:14" x14ac:dyDescent="0.3">
      <c r="A16" s="10">
        <v>3015</v>
      </c>
      <c r="B16" s="10" t="s">
        <v>71</v>
      </c>
      <c r="C16" s="10" t="s">
        <v>57</v>
      </c>
      <c r="D16" s="37">
        <v>63297</v>
      </c>
      <c r="E16" s="28">
        <v>45505</v>
      </c>
      <c r="F16" s="10">
        <f t="shared" si="0"/>
        <v>2024</v>
      </c>
      <c r="G16" s="10" t="str">
        <f t="shared" si="1"/>
        <v>August</v>
      </c>
      <c r="H16" s="10">
        <f t="shared" ca="1" si="2"/>
        <v>2</v>
      </c>
      <c r="I16" s="10" t="str">
        <f t="shared" si="3"/>
        <v>Medium Salary</v>
      </c>
      <c r="J16" s="10">
        <f t="shared" si="4"/>
        <v>3164.8500000000004</v>
      </c>
      <c r="K16" s="10" t="str">
        <f t="shared" si="5"/>
        <v>Other Department</v>
      </c>
    </row>
    <row r="17" spans="1:12" x14ac:dyDescent="0.3">
      <c r="A17" s="10">
        <v>3016</v>
      </c>
      <c r="B17" s="10" t="s">
        <v>72</v>
      </c>
      <c r="C17" s="10" t="s">
        <v>54</v>
      </c>
      <c r="D17" s="37">
        <v>114173</v>
      </c>
      <c r="E17" s="28">
        <v>45755</v>
      </c>
      <c r="F17" s="10">
        <f t="shared" si="0"/>
        <v>2025</v>
      </c>
      <c r="G17" s="10" t="str">
        <f t="shared" si="1"/>
        <v>April</v>
      </c>
      <c r="H17" s="10">
        <f t="shared" ca="1" si="2"/>
        <v>1</v>
      </c>
      <c r="I17" s="10" t="str">
        <f t="shared" si="3"/>
        <v>High Salary</v>
      </c>
      <c r="J17" s="10">
        <f t="shared" si="4"/>
        <v>11417.300000000001</v>
      </c>
      <c r="K17" s="10" t="str">
        <f t="shared" si="5"/>
        <v>Core Department</v>
      </c>
    </row>
    <row r="18" spans="1:12" x14ac:dyDescent="0.3">
      <c r="A18" s="10">
        <v>3017</v>
      </c>
      <c r="B18" s="10" t="s">
        <v>73</v>
      </c>
      <c r="C18" s="10" t="s">
        <v>57</v>
      </c>
      <c r="D18" s="37">
        <v>86915</v>
      </c>
      <c r="E18" s="28">
        <v>45909</v>
      </c>
      <c r="F18" s="10">
        <f t="shared" si="0"/>
        <v>2025</v>
      </c>
      <c r="G18" s="10" t="str">
        <f t="shared" si="1"/>
        <v>September</v>
      </c>
      <c r="H18" s="10">
        <f t="shared" ca="1" si="2"/>
        <v>1</v>
      </c>
      <c r="I18" s="10" t="str">
        <f t="shared" si="3"/>
        <v>Medium Salary</v>
      </c>
      <c r="J18" s="10">
        <f t="shared" si="4"/>
        <v>8691.5</v>
      </c>
      <c r="K18" s="10" t="str">
        <f t="shared" si="5"/>
        <v>Other Department</v>
      </c>
    </row>
    <row r="19" spans="1:12" x14ac:dyDescent="0.3">
      <c r="A19" s="10">
        <v>3018</v>
      </c>
      <c r="B19" s="10" t="s">
        <v>74</v>
      </c>
      <c r="C19" s="10" t="s">
        <v>60</v>
      </c>
      <c r="D19" s="37">
        <v>116284</v>
      </c>
      <c r="E19" s="28">
        <v>46016</v>
      </c>
      <c r="F19" s="10">
        <f t="shared" si="0"/>
        <v>2025</v>
      </c>
      <c r="G19" s="10" t="str">
        <f t="shared" si="1"/>
        <v>December</v>
      </c>
      <c r="H19" s="10">
        <f t="shared" ca="1" si="2"/>
        <v>0</v>
      </c>
      <c r="I19" s="10" t="str">
        <f t="shared" si="3"/>
        <v>High Salary</v>
      </c>
      <c r="J19" s="10">
        <f t="shared" si="4"/>
        <v>11628.400000000001</v>
      </c>
      <c r="K19" s="10" t="str">
        <f t="shared" si="5"/>
        <v>Core Department</v>
      </c>
    </row>
    <row r="20" spans="1:12" x14ac:dyDescent="0.3">
      <c r="A20" s="10">
        <v>3019</v>
      </c>
      <c r="B20" s="10" t="s">
        <v>75</v>
      </c>
      <c r="C20" s="10" t="s">
        <v>63</v>
      </c>
      <c r="D20" s="37">
        <v>116283</v>
      </c>
      <c r="E20" s="28">
        <v>46378</v>
      </c>
      <c r="F20" s="10">
        <f t="shared" si="0"/>
        <v>2026</v>
      </c>
      <c r="G20" s="10" t="str">
        <f t="shared" si="1"/>
        <v>December</v>
      </c>
      <c r="H20" s="10" t="str">
        <f t="shared" ca="1" si="2"/>
        <v>Not Joined</v>
      </c>
      <c r="I20" s="10" t="str">
        <f t="shared" si="3"/>
        <v>High Salary</v>
      </c>
      <c r="J20" s="10">
        <f t="shared" si="4"/>
        <v>11628.300000000001</v>
      </c>
      <c r="K20" s="10" t="str">
        <f t="shared" si="5"/>
        <v>Other Department</v>
      </c>
    </row>
    <row r="21" spans="1:12" x14ac:dyDescent="0.3">
      <c r="A21" s="10">
        <v>3020</v>
      </c>
      <c r="B21" s="10" t="s">
        <v>76</v>
      </c>
      <c r="C21" s="10" t="s">
        <v>63</v>
      </c>
      <c r="D21" s="37">
        <v>99924</v>
      </c>
      <c r="E21" s="28">
        <v>46755</v>
      </c>
      <c r="F21" s="10">
        <f t="shared" si="0"/>
        <v>2028</v>
      </c>
      <c r="G21" s="10" t="str">
        <f t="shared" si="1"/>
        <v>January</v>
      </c>
      <c r="H21" s="10" t="str">
        <f t="shared" ca="1" si="2"/>
        <v>Not Joined</v>
      </c>
      <c r="I21" s="10" t="str">
        <f t="shared" si="3"/>
        <v>Medium Salary</v>
      </c>
      <c r="J21" s="10">
        <f t="shared" si="4"/>
        <v>9992.4000000000015</v>
      </c>
      <c r="K21" s="10" t="str">
        <f t="shared" si="5"/>
        <v>Other Department</v>
      </c>
      <c r="L21" s="2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09DE1-2297-4A7D-B18A-EAC4B7A01480}">
  <dimension ref="A1:O39"/>
  <sheetViews>
    <sheetView tabSelected="1" zoomScale="85" zoomScaleNormal="85" workbookViewId="0">
      <selection activeCell="K30" sqref="K30"/>
    </sheetView>
  </sheetViews>
  <sheetFormatPr defaultRowHeight="14.4" x14ac:dyDescent="0.3"/>
  <cols>
    <col min="1" max="1" width="18.109375" customWidth="1"/>
    <col min="2" max="2" width="11.5546875" customWidth="1"/>
    <col min="3" max="3" width="15" customWidth="1"/>
    <col min="4" max="4" width="18.5546875" customWidth="1"/>
    <col min="5" max="5" width="14.44140625" style="24" customWidth="1"/>
    <col min="6" max="6" width="26.6640625" bestFit="1" customWidth="1"/>
    <col min="7" max="7" width="15.6640625" style="30" customWidth="1"/>
    <col min="8" max="8" width="15.44140625" style="26" customWidth="1"/>
    <col min="9" max="9" width="10.6640625" customWidth="1"/>
    <col min="11" max="11" width="15.5546875" customWidth="1"/>
    <col min="13" max="13" width="18.5546875" customWidth="1"/>
    <col min="14" max="14" width="14.88671875" customWidth="1"/>
    <col min="15" max="15" width="24.33203125" customWidth="1"/>
    <col min="16" max="16" width="13.6640625" customWidth="1"/>
    <col min="17" max="17" width="12.44140625" customWidth="1"/>
  </cols>
  <sheetData>
    <row r="1" spans="1:15" x14ac:dyDescent="0.3">
      <c r="A1" s="14" t="s">
        <v>77</v>
      </c>
      <c r="B1" s="15" t="s">
        <v>78</v>
      </c>
      <c r="C1" s="15" t="s">
        <v>79</v>
      </c>
      <c r="D1" s="15" t="s">
        <v>80</v>
      </c>
      <c r="E1" s="16" t="s">
        <v>81</v>
      </c>
      <c r="F1" s="23" t="s">
        <v>82</v>
      </c>
      <c r="G1" s="29" t="s">
        <v>83</v>
      </c>
      <c r="H1" s="25" t="s">
        <v>84</v>
      </c>
      <c r="I1" s="5" t="s">
        <v>85</v>
      </c>
      <c r="J1" s="5" t="s">
        <v>86</v>
      </c>
      <c r="K1" s="5" t="s">
        <v>87</v>
      </c>
    </row>
    <row r="2" spans="1:15" x14ac:dyDescent="0.3">
      <c r="A2" s="31">
        <v>2001</v>
      </c>
      <c r="B2" s="32" t="s">
        <v>90</v>
      </c>
      <c r="C2" s="32" t="s">
        <v>91</v>
      </c>
      <c r="D2" s="32" t="s">
        <v>92</v>
      </c>
      <c r="E2" s="33">
        <v>7048</v>
      </c>
      <c r="F2" s="34">
        <v>44927</v>
      </c>
      <c r="G2" s="35">
        <f>IF(E2&gt;=40000,10%,IF(E2&gt;=20000,5%,0%))</f>
        <v>0</v>
      </c>
      <c r="H2" s="36">
        <f>E2-(E2*G2)</f>
        <v>7048</v>
      </c>
      <c r="I2" s="10" t="str">
        <f>TEXT(F2,"mmmm")</f>
        <v>January</v>
      </c>
      <c r="J2" s="10" t="str">
        <f>"Q"&amp;ROUNDUP(MONTH(F2)/3,0)</f>
        <v>Q1</v>
      </c>
      <c r="K2" s="10" t="str">
        <f>IF(E2&gt;=40000,"High",IF(E2&gt;=20000,"Medium","Low"))</f>
        <v>Low</v>
      </c>
      <c r="L2" s="1"/>
    </row>
    <row r="3" spans="1:15" x14ac:dyDescent="0.3">
      <c r="A3" s="31">
        <v>2002</v>
      </c>
      <c r="B3" s="32" t="s">
        <v>95</v>
      </c>
      <c r="C3" s="32" t="s">
        <v>96</v>
      </c>
      <c r="D3" s="32" t="s">
        <v>97</v>
      </c>
      <c r="E3" s="33">
        <v>17428</v>
      </c>
      <c r="F3" s="38">
        <v>44942</v>
      </c>
      <c r="G3" s="35">
        <f t="shared" ref="G3:G21" si="0">IF(E3&gt;=40000,10%,IF(E3&gt;=20000,5%,0%))</f>
        <v>0</v>
      </c>
      <c r="H3" s="36">
        <f t="shared" ref="H3:H21" si="1">E3-(E3*G3)</f>
        <v>17428</v>
      </c>
      <c r="I3" s="10" t="str">
        <f t="shared" ref="I3:I21" si="2">TEXT(F3,"mmmm")</f>
        <v>January</v>
      </c>
      <c r="J3" s="10" t="str">
        <f t="shared" ref="J3:J21" si="3">"Q"&amp;ROUNDUP(MONTH(F3)/3,0)</f>
        <v>Q1</v>
      </c>
      <c r="K3" s="10" t="str">
        <f t="shared" ref="K3:K21" si="4">IF(E3&gt;=40000,"High",IF(E3&gt;=20000,"Medium","Low"))</f>
        <v>Low</v>
      </c>
      <c r="O3" s="39"/>
    </row>
    <row r="4" spans="1:15" x14ac:dyDescent="0.3">
      <c r="A4" s="31">
        <v>2003</v>
      </c>
      <c r="B4" s="32" t="s">
        <v>98</v>
      </c>
      <c r="C4" s="32" t="s">
        <v>91</v>
      </c>
      <c r="D4" s="32" t="s">
        <v>99</v>
      </c>
      <c r="E4" s="33">
        <v>23672</v>
      </c>
      <c r="F4" s="38">
        <v>44957</v>
      </c>
      <c r="G4" s="35">
        <f t="shared" si="0"/>
        <v>0.05</v>
      </c>
      <c r="H4" s="36">
        <f t="shared" si="1"/>
        <v>22488.400000000001</v>
      </c>
      <c r="I4" s="10" t="str">
        <f t="shared" si="2"/>
        <v>January</v>
      </c>
      <c r="J4" s="10" t="str">
        <f t="shared" si="3"/>
        <v>Q1</v>
      </c>
      <c r="K4" s="10" t="str">
        <f t="shared" si="4"/>
        <v>Medium</v>
      </c>
      <c r="O4" s="39"/>
    </row>
    <row r="5" spans="1:15" x14ac:dyDescent="0.3">
      <c r="A5" s="31">
        <v>2004</v>
      </c>
      <c r="B5" s="32" t="s">
        <v>95</v>
      </c>
      <c r="C5" s="32" t="s">
        <v>102</v>
      </c>
      <c r="D5" s="32" t="s">
        <v>103</v>
      </c>
      <c r="E5" s="33">
        <v>5264</v>
      </c>
      <c r="F5" s="38">
        <v>44972</v>
      </c>
      <c r="G5" s="35">
        <f t="shared" si="0"/>
        <v>0</v>
      </c>
      <c r="H5" s="36">
        <f t="shared" si="1"/>
        <v>5264</v>
      </c>
      <c r="I5" s="10" t="str">
        <f t="shared" si="2"/>
        <v>February</v>
      </c>
      <c r="J5" s="10" t="str">
        <f t="shared" si="3"/>
        <v>Q1</v>
      </c>
      <c r="K5" s="10" t="str">
        <f t="shared" si="4"/>
        <v>Low</v>
      </c>
      <c r="O5" s="39"/>
    </row>
    <row r="6" spans="1:15" x14ac:dyDescent="0.3">
      <c r="A6" s="31">
        <v>2005</v>
      </c>
      <c r="B6" s="32" t="s">
        <v>90</v>
      </c>
      <c r="C6" s="32" t="s">
        <v>104</v>
      </c>
      <c r="D6" s="32" t="s">
        <v>93</v>
      </c>
      <c r="E6" s="33">
        <v>43388</v>
      </c>
      <c r="F6" s="38">
        <v>44987</v>
      </c>
      <c r="G6" s="35">
        <f t="shared" si="0"/>
        <v>0.1</v>
      </c>
      <c r="H6" s="36">
        <f t="shared" si="1"/>
        <v>39049.199999999997</v>
      </c>
      <c r="I6" s="10" t="str">
        <f t="shared" si="2"/>
        <v>March</v>
      </c>
      <c r="J6" s="10" t="str">
        <f t="shared" si="3"/>
        <v>Q1</v>
      </c>
      <c r="K6" s="10" t="str">
        <f t="shared" si="4"/>
        <v>High</v>
      </c>
      <c r="L6" s="1"/>
      <c r="M6" s="1"/>
      <c r="N6" s="1"/>
      <c r="O6" s="39"/>
    </row>
    <row r="7" spans="1:15" x14ac:dyDescent="0.3">
      <c r="A7" s="31">
        <v>2006</v>
      </c>
      <c r="B7" s="32" t="s">
        <v>98</v>
      </c>
      <c r="C7" s="32" t="s">
        <v>104</v>
      </c>
      <c r="D7" s="32" t="s">
        <v>105</v>
      </c>
      <c r="E7" s="33">
        <v>19757</v>
      </c>
      <c r="F7" s="38">
        <v>45002</v>
      </c>
      <c r="G7" s="35">
        <f t="shared" si="0"/>
        <v>0</v>
      </c>
      <c r="H7" s="36">
        <f t="shared" si="1"/>
        <v>19757</v>
      </c>
      <c r="I7" s="10" t="str">
        <f t="shared" si="2"/>
        <v>March</v>
      </c>
      <c r="J7" s="10" t="str">
        <f t="shared" si="3"/>
        <v>Q1</v>
      </c>
      <c r="K7" s="10" t="str">
        <f t="shared" si="4"/>
        <v>Low</v>
      </c>
      <c r="L7" s="1"/>
    </row>
    <row r="8" spans="1:15" x14ac:dyDescent="0.3">
      <c r="A8" s="31">
        <v>2007</v>
      </c>
      <c r="B8" s="32" t="s">
        <v>98</v>
      </c>
      <c r="C8" s="32" t="s">
        <v>102</v>
      </c>
      <c r="D8" s="32" t="s">
        <v>109</v>
      </c>
      <c r="E8" s="33">
        <v>32058</v>
      </c>
      <c r="F8" s="38">
        <v>45017</v>
      </c>
      <c r="G8" s="35">
        <f t="shared" si="0"/>
        <v>0.05</v>
      </c>
      <c r="H8" s="36">
        <f t="shared" si="1"/>
        <v>30455.1</v>
      </c>
      <c r="I8" s="10" t="str">
        <f t="shared" si="2"/>
        <v>April</v>
      </c>
      <c r="J8" s="10" t="str">
        <f t="shared" si="3"/>
        <v>Q2</v>
      </c>
      <c r="K8" s="10" t="str">
        <f t="shared" si="4"/>
        <v>Medium</v>
      </c>
      <c r="L8" s="1"/>
    </row>
    <row r="9" spans="1:15" x14ac:dyDescent="0.3">
      <c r="A9" s="31">
        <v>2008</v>
      </c>
      <c r="B9" s="32" t="s">
        <v>90</v>
      </c>
      <c r="C9" s="32" t="s">
        <v>102</v>
      </c>
      <c r="D9" s="32" t="s">
        <v>110</v>
      </c>
      <c r="E9" s="33">
        <v>46429</v>
      </c>
      <c r="F9" s="38">
        <v>45032</v>
      </c>
      <c r="G9" s="35">
        <f t="shared" si="0"/>
        <v>0.1</v>
      </c>
      <c r="H9" s="36">
        <f t="shared" si="1"/>
        <v>41786.1</v>
      </c>
      <c r="I9" s="10" t="str">
        <f t="shared" si="2"/>
        <v>April</v>
      </c>
      <c r="J9" s="10" t="str">
        <f t="shared" si="3"/>
        <v>Q2</v>
      </c>
      <c r="K9" s="10" t="str">
        <f t="shared" si="4"/>
        <v>High</v>
      </c>
      <c r="L9" s="1"/>
    </row>
    <row r="10" spans="1:15" x14ac:dyDescent="0.3">
      <c r="A10" s="31">
        <v>2009</v>
      </c>
      <c r="B10" s="32" t="s">
        <v>95</v>
      </c>
      <c r="C10" s="32" t="s">
        <v>102</v>
      </c>
      <c r="D10" s="32" t="s">
        <v>111</v>
      </c>
      <c r="E10" s="33">
        <v>19746</v>
      </c>
      <c r="F10" s="38">
        <v>45047</v>
      </c>
      <c r="G10" s="35">
        <f t="shared" si="0"/>
        <v>0</v>
      </c>
      <c r="H10" s="36">
        <f t="shared" si="1"/>
        <v>19746</v>
      </c>
      <c r="I10" s="10" t="str">
        <f t="shared" si="2"/>
        <v>May</v>
      </c>
      <c r="J10" s="10" t="str">
        <f t="shared" si="3"/>
        <v>Q2</v>
      </c>
      <c r="K10" s="10" t="str">
        <f t="shared" si="4"/>
        <v>Low</v>
      </c>
      <c r="L10" s="1"/>
    </row>
    <row r="11" spans="1:15" x14ac:dyDescent="0.3">
      <c r="A11" s="31">
        <v>2010</v>
      </c>
      <c r="B11" s="32" t="s">
        <v>90</v>
      </c>
      <c r="C11" s="32" t="s">
        <v>91</v>
      </c>
      <c r="D11" s="32" t="s">
        <v>113</v>
      </c>
      <c r="E11" s="33">
        <v>35185</v>
      </c>
      <c r="F11" s="38">
        <v>45062</v>
      </c>
      <c r="G11" s="35">
        <f t="shared" si="0"/>
        <v>0.05</v>
      </c>
      <c r="H11" s="36">
        <f t="shared" si="1"/>
        <v>33425.75</v>
      </c>
      <c r="I11" s="10" t="str">
        <f t="shared" si="2"/>
        <v>May</v>
      </c>
      <c r="J11" s="10" t="str">
        <f t="shared" si="3"/>
        <v>Q2</v>
      </c>
      <c r="K11" s="10" t="str">
        <f t="shared" si="4"/>
        <v>Medium</v>
      </c>
      <c r="L11" s="1"/>
    </row>
    <row r="12" spans="1:15" x14ac:dyDescent="0.3">
      <c r="A12" s="31">
        <v>2011</v>
      </c>
      <c r="B12" s="32" t="s">
        <v>90</v>
      </c>
      <c r="C12" s="32" t="s">
        <v>102</v>
      </c>
      <c r="D12" s="32" t="s">
        <v>115</v>
      </c>
      <c r="E12" s="33">
        <v>33920</v>
      </c>
      <c r="F12" s="38">
        <v>45077</v>
      </c>
      <c r="G12" s="35">
        <f t="shared" si="0"/>
        <v>0.05</v>
      </c>
      <c r="H12" s="36">
        <f t="shared" si="1"/>
        <v>32224</v>
      </c>
      <c r="I12" s="10" t="str">
        <f t="shared" si="2"/>
        <v>May</v>
      </c>
      <c r="J12" s="10" t="str">
        <f t="shared" si="3"/>
        <v>Q2</v>
      </c>
      <c r="K12" s="10" t="str">
        <f t="shared" si="4"/>
        <v>Medium</v>
      </c>
      <c r="L12" s="1"/>
    </row>
    <row r="13" spans="1:15" x14ac:dyDescent="0.3">
      <c r="A13" s="31">
        <v>2012</v>
      </c>
      <c r="B13" s="32" t="s">
        <v>116</v>
      </c>
      <c r="C13" s="32" t="s">
        <v>104</v>
      </c>
      <c r="D13" s="32" t="s">
        <v>117</v>
      </c>
      <c r="E13" s="33">
        <v>35611</v>
      </c>
      <c r="F13" s="38">
        <v>45092</v>
      </c>
      <c r="G13" s="35">
        <f t="shared" si="0"/>
        <v>0.05</v>
      </c>
      <c r="H13" s="36">
        <f t="shared" si="1"/>
        <v>33830.449999999997</v>
      </c>
      <c r="I13" s="10" t="str">
        <f t="shared" si="2"/>
        <v>June</v>
      </c>
      <c r="J13" s="10" t="str">
        <f t="shared" si="3"/>
        <v>Q2</v>
      </c>
      <c r="K13" s="10" t="str">
        <f t="shared" si="4"/>
        <v>Medium</v>
      </c>
      <c r="L13" s="1"/>
      <c r="M13" s="1"/>
      <c r="N13" s="1"/>
      <c r="O13" s="1"/>
    </row>
    <row r="14" spans="1:15" x14ac:dyDescent="0.3">
      <c r="A14" s="31">
        <v>2013</v>
      </c>
      <c r="B14" s="32" t="s">
        <v>118</v>
      </c>
      <c r="C14" s="32" t="s">
        <v>102</v>
      </c>
      <c r="D14" s="32" t="s">
        <v>119</v>
      </c>
      <c r="E14" s="33">
        <v>15560</v>
      </c>
      <c r="F14" s="38">
        <v>45107</v>
      </c>
      <c r="G14" s="35">
        <f t="shared" si="0"/>
        <v>0</v>
      </c>
      <c r="H14" s="36">
        <f t="shared" si="1"/>
        <v>15560</v>
      </c>
      <c r="I14" s="10" t="str">
        <f t="shared" si="2"/>
        <v>June</v>
      </c>
      <c r="J14" s="10" t="str">
        <f t="shared" si="3"/>
        <v>Q2</v>
      </c>
      <c r="K14" s="10" t="str">
        <f t="shared" si="4"/>
        <v>Low</v>
      </c>
      <c r="L14" s="1"/>
      <c r="M14" s="1"/>
      <c r="N14" s="1"/>
      <c r="O14" s="1"/>
    </row>
    <row r="15" spans="1:15" x14ac:dyDescent="0.3">
      <c r="A15" s="31">
        <v>2014</v>
      </c>
      <c r="B15" s="32" t="s">
        <v>118</v>
      </c>
      <c r="C15" s="32" t="s">
        <v>91</v>
      </c>
      <c r="D15" s="32" t="s">
        <v>120</v>
      </c>
      <c r="E15" s="33">
        <v>7283</v>
      </c>
      <c r="F15" s="38">
        <v>45122</v>
      </c>
      <c r="G15" s="35">
        <f t="shared" si="0"/>
        <v>0</v>
      </c>
      <c r="H15" s="36">
        <f t="shared" si="1"/>
        <v>7283</v>
      </c>
      <c r="I15" s="10" t="str">
        <f t="shared" si="2"/>
        <v>July</v>
      </c>
      <c r="J15" s="10" t="str">
        <f t="shared" si="3"/>
        <v>Q3</v>
      </c>
      <c r="K15" s="10" t="str">
        <f t="shared" si="4"/>
        <v>Low</v>
      </c>
      <c r="L15" s="1"/>
      <c r="M15" s="1"/>
      <c r="N15" s="1"/>
      <c r="O15" s="1"/>
    </row>
    <row r="16" spans="1:15" x14ac:dyDescent="0.3">
      <c r="A16" s="31">
        <v>2015</v>
      </c>
      <c r="B16" s="32" t="s">
        <v>118</v>
      </c>
      <c r="C16" s="32" t="s">
        <v>102</v>
      </c>
      <c r="D16" s="32" t="s">
        <v>121</v>
      </c>
      <c r="E16" s="33">
        <v>15678</v>
      </c>
      <c r="F16" s="38">
        <v>45137</v>
      </c>
      <c r="G16" s="35">
        <f t="shared" si="0"/>
        <v>0</v>
      </c>
      <c r="H16" s="36">
        <f t="shared" si="1"/>
        <v>15678</v>
      </c>
      <c r="I16" s="10" t="str">
        <f t="shared" si="2"/>
        <v>July</v>
      </c>
      <c r="J16" s="10" t="str">
        <f t="shared" si="3"/>
        <v>Q3</v>
      </c>
      <c r="K16" s="10" t="str">
        <f t="shared" si="4"/>
        <v>Low</v>
      </c>
      <c r="L16" s="1"/>
      <c r="M16" s="1"/>
      <c r="N16" s="1"/>
      <c r="O16" s="1"/>
    </row>
    <row r="17" spans="1:15" x14ac:dyDescent="0.3">
      <c r="A17" s="31">
        <v>2016</v>
      </c>
      <c r="B17" s="32" t="s">
        <v>98</v>
      </c>
      <c r="C17" s="32" t="s">
        <v>102</v>
      </c>
      <c r="D17" s="32" t="s">
        <v>122</v>
      </c>
      <c r="E17" s="33">
        <v>5277</v>
      </c>
      <c r="F17" s="38">
        <v>45152</v>
      </c>
      <c r="G17" s="35">
        <f t="shared" si="0"/>
        <v>0</v>
      </c>
      <c r="H17" s="36">
        <f t="shared" si="1"/>
        <v>5277</v>
      </c>
      <c r="I17" s="10" t="str">
        <f t="shared" si="2"/>
        <v>August</v>
      </c>
      <c r="J17" s="10" t="str">
        <f t="shared" si="3"/>
        <v>Q3</v>
      </c>
      <c r="K17" s="10" t="str">
        <f t="shared" si="4"/>
        <v>Low</v>
      </c>
      <c r="L17" s="1"/>
      <c r="M17" s="1"/>
      <c r="N17" s="1"/>
      <c r="O17" s="1"/>
    </row>
    <row r="18" spans="1:15" x14ac:dyDescent="0.3">
      <c r="A18" s="31">
        <v>2017</v>
      </c>
      <c r="B18" s="32" t="s">
        <v>116</v>
      </c>
      <c r="C18" s="32" t="s">
        <v>104</v>
      </c>
      <c r="D18" s="32" t="s">
        <v>123</v>
      </c>
      <c r="E18" s="33">
        <v>41871</v>
      </c>
      <c r="F18" s="38">
        <v>45167</v>
      </c>
      <c r="G18" s="35">
        <f t="shared" si="0"/>
        <v>0.1</v>
      </c>
      <c r="H18" s="36">
        <f t="shared" si="1"/>
        <v>37683.9</v>
      </c>
      <c r="I18" s="10" t="str">
        <f t="shared" si="2"/>
        <v>August</v>
      </c>
      <c r="J18" s="10" t="str">
        <f t="shared" si="3"/>
        <v>Q3</v>
      </c>
      <c r="K18" s="10" t="str">
        <f t="shared" si="4"/>
        <v>High</v>
      </c>
      <c r="L18" s="1"/>
      <c r="M18" s="1"/>
      <c r="N18" s="1"/>
      <c r="O18" s="1"/>
    </row>
    <row r="19" spans="1:15" x14ac:dyDescent="0.3">
      <c r="A19" s="31">
        <v>2018</v>
      </c>
      <c r="B19" s="32" t="s">
        <v>116</v>
      </c>
      <c r="C19" s="32" t="s">
        <v>96</v>
      </c>
      <c r="D19" s="32" t="s">
        <v>124</v>
      </c>
      <c r="E19" s="33">
        <v>38161</v>
      </c>
      <c r="F19" s="38">
        <v>45182</v>
      </c>
      <c r="G19" s="35">
        <f t="shared" si="0"/>
        <v>0.05</v>
      </c>
      <c r="H19" s="36">
        <f t="shared" si="1"/>
        <v>36252.949999999997</v>
      </c>
      <c r="I19" s="10" t="str">
        <f t="shared" si="2"/>
        <v>September</v>
      </c>
      <c r="J19" s="10" t="str">
        <f t="shared" si="3"/>
        <v>Q3</v>
      </c>
      <c r="K19" s="10" t="str">
        <f t="shared" si="4"/>
        <v>Medium</v>
      </c>
      <c r="L19" s="1"/>
      <c r="M19" s="1"/>
      <c r="N19" s="1"/>
      <c r="O19" s="1"/>
    </row>
    <row r="20" spans="1:15" x14ac:dyDescent="0.3">
      <c r="A20" s="31">
        <v>2019</v>
      </c>
      <c r="B20" s="32" t="s">
        <v>98</v>
      </c>
      <c r="C20" s="32" t="s">
        <v>96</v>
      </c>
      <c r="D20" s="32" t="s">
        <v>125</v>
      </c>
      <c r="E20" s="33">
        <v>30436</v>
      </c>
      <c r="F20" s="38">
        <v>45197</v>
      </c>
      <c r="G20" s="35">
        <f t="shared" si="0"/>
        <v>0.05</v>
      </c>
      <c r="H20" s="36">
        <f t="shared" si="1"/>
        <v>28914.2</v>
      </c>
      <c r="I20" s="10" t="str">
        <f t="shared" si="2"/>
        <v>September</v>
      </c>
      <c r="J20" s="10" t="str">
        <f t="shared" si="3"/>
        <v>Q3</v>
      </c>
      <c r="K20" s="10" t="str">
        <f t="shared" si="4"/>
        <v>Medium</v>
      </c>
      <c r="L20" s="1"/>
      <c r="M20" s="1"/>
      <c r="N20" s="1"/>
      <c r="O20" s="1"/>
    </row>
    <row r="21" spans="1:15" x14ac:dyDescent="0.3">
      <c r="A21" s="31">
        <v>2020</v>
      </c>
      <c r="B21" s="32" t="s">
        <v>95</v>
      </c>
      <c r="C21" s="32" t="s">
        <v>96</v>
      </c>
      <c r="D21" s="32" t="s">
        <v>126</v>
      </c>
      <c r="E21" s="40">
        <v>33953</v>
      </c>
      <c r="F21" s="38">
        <v>45212</v>
      </c>
      <c r="G21" s="35">
        <f t="shared" si="0"/>
        <v>0.05</v>
      </c>
      <c r="H21" s="36">
        <f t="shared" si="1"/>
        <v>32255.35</v>
      </c>
      <c r="I21" s="10" t="str">
        <f t="shared" si="2"/>
        <v>October</v>
      </c>
      <c r="J21" s="10" t="str">
        <f t="shared" si="3"/>
        <v>Q4</v>
      </c>
      <c r="K21" s="10" t="str">
        <f t="shared" si="4"/>
        <v>Medium</v>
      </c>
      <c r="L21" s="1"/>
      <c r="M21" s="1"/>
      <c r="N21" s="1"/>
      <c r="O21" s="1"/>
    </row>
    <row r="22" spans="1:15" x14ac:dyDescent="0.3">
      <c r="A22" s="1"/>
      <c r="B22" s="1"/>
      <c r="C22" s="1"/>
      <c r="D22" s="1"/>
      <c r="E22" s="39"/>
      <c r="F22" s="1"/>
      <c r="G22" s="41"/>
      <c r="H22" s="42"/>
      <c r="I22" s="1"/>
      <c r="J22" s="1"/>
      <c r="K22" s="1"/>
      <c r="L22" s="1"/>
      <c r="M22" s="1"/>
      <c r="N22" s="1"/>
      <c r="O22" s="1"/>
    </row>
    <row r="23" spans="1:15" x14ac:dyDescent="0.3">
      <c r="A23" s="47" t="s">
        <v>33</v>
      </c>
      <c r="B23" s="47" t="s">
        <v>127</v>
      </c>
      <c r="C23" s="1"/>
      <c r="D23" s="47" t="s">
        <v>78</v>
      </c>
      <c r="E23" s="48" t="s">
        <v>128</v>
      </c>
      <c r="F23" s="1"/>
      <c r="G23" s="47" t="s">
        <v>100</v>
      </c>
      <c r="H23" s="48" t="s">
        <v>129</v>
      </c>
      <c r="I23" s="1"/>
      <c r="J23" s="1"/>
      <c r="K23" s="1"/>
      <c r="L23" s="1"/>
      <c r="M23" s="1"/>
      <c r="N23" s="1"/>
      <c r="O23" s="1"/>
    </row>
    <row r="24" spans="1:15" x14ac:dyDescent="0.3">
      <c r="A24" s="10" t="s">
        <v>130</v>
      </c>
      <c r="B24" s="44">
        <f>SUM(H2:H21)</f>
        <v>481406.40000000008</v>
      </c>
      <c r="C24" s="1"/>
      <c r="D24" s="10" t="s">
        <v>90</v>
      </c>
      <c r="E24" s="37">
        <v>2500</v>
      </c>
      <c r="F24" s="1"/>
      <c r="G24" s="10" t="s">
        <v>131</v>
      </c>
      <c r="H24" s="37">
        <f>VLOOKUP(G24,$D$24:$E$28,2,FALSE)</f>
        <v>2500</v>
      </c>
      <c r="I24" s="1"/>
      <c r="J24" s="1"/>
      <c r="K24" s="1"/>
      <c r="L24" s="1"/>
      <c r="M24" s="1"/>
      <c r="N24" s="1"/>
      <c r="O24" s="1"/>
    </row>
    <row r="25" spans="1:15" x14ac:dyDescent="0.3">
      <c r="A25" s="10" t="s">
        <v>132</v>
      </c>
      <c r="B25" s="13">
        <f>SUMIF(C2:C21,"South",E2:E21)</f>
        <v>73188</v>
      </c>
      <c r="C25" s="1"/>
      <c r="D25" s="10" t="s">
        <v>98</v>
      </c>
      <c r="E25" s="37">
        <v>800</v>
      </c>
      <c r="F25" s="1"/>
      <c r="G25" s="10" t="s">
        <v>98</v>
      </c>
      <c r="H25" s="37">
        <f>VLOOKUP(G25,$D$24:$E$28,2,FALSE)</f>
        <v>800</v>
      </c>
      <c r="I25" s="1"/>
      <c r="J25" s="1"/>
      <c r="K25" s="1"/>
      <c r="L25" s="1"/>
      <c r="M25" s="1"/>
      <c r="N25" s="1"/>
      <c r="O25" s="1"/>
    </row>
    <row r="26" spans="1:15" x14ac:dyDescent="0.3">
      <c r="A26" s="10" t="s">
        <v>133</v>
      </c>
      <c r="B26" s="13">
        <f>SUMIF(B2:B21,"Keyboard",E2:E21)</f>
        <v>165970</v>
      </c>
      <c r="C26" s="1"/>
      <c r="D26" s="10" t="s">
        <v>95</v>
      </c>
      <c r="E26" s="37">
        <v>12000</v>
      </c>
      <c r="F26" s="1"/>
      <c r="G26" s="10" t="s">
        <v>95</v>
      </c>
      <c r="H26" s="37">
        <f>VLOOKUP(G26,$D$24:$E$28,2,FALSE)</f>
        <v>12000</v>
      </c>
      <c r="I26" s="1"/>
      <c r="J26" s="1"/>
      <c r="K26" s="1"/>
      <c r="L26" s="1"/>
      <c r="M26" s="1"/>
      <c r="N26" s="1"/>
      <c r="O26" s="1"/>
    </row>
    <row r="27" spans="1:15" x14ac:dyDescent="0.3">
      <c r="A27" s="10" t="s">
        <v>134</v>
      </c>
      <c r="B27" s="45">
        <f>SUMIFS(E2:E21,C2:C21,"East",B2:B21,"Mouse")</f>
        <v>37335</v>
      </c>
      <c r="C27" s="1"/>
      <c r="D27" s="10" t="s">
        <v>116</v>
      </c>
      <c r="E27" s="37">
        <v>15000</v>
      </c>
      <c r="F27" s="1"/>
      <c r="G27" s="10" t="s">
        <v>116</v>
      </c>
      <c r="H27" s="37">
        <f>VLOOKUP(G27,$D$24:$E$28,2,FALSE)</f>
        <v>15000</v>
      </c>
      <c r="I27" s="1"/>
      <c r="J27" s="1"/>
      <c r="K27" s="1"/>
      <c r="L27" s="1"/>
      <c r="M27" s="1"/>
      <c r="N27" s="1"/>
      <c r="O27" s="1"/>
    </row>
    <row r="28" spans="1:15" x14ac:dyDescent="0.3">
      <c r="A28" s="10" t="s">
        <v>135</v>
      </c>
      <c r="B28" s="13">
        <f>COUNTIF(E2:E21,"&gt;20000")</f>
        <v>11</v>
      </c>
      <c r="C28" s="1"/>
      <c r="D28" s="10" t="s">
        <v>118</v>
      </c>
      <c r="E28" s="37">
        <v>55000</v>
      </c>
      <c r="F28" s="1"/>
      <c r="G28" s="10" t="s">
        <v>118</v>
      </c>
      <c r="H28" s="37">
        <f>VLOOKUP(G28,$D$24:$E$28,2,FALSE)</f>
        <v>55000</v>
      </c>
      <c r="I28" s="1"/>
      <c r="J28" s="1"/>
      <c r="K28" s="1"/>
      <c r="L28" s="1"/>
      <c r="M28" s="1"/>
      <c r="N28" s="1"/>
      <c r="O28" s="1"/>
    </row>
    <row r="30" spans="1:15" x14ac:dyDescent="0.3">
      <c r="E30" s="1"/>
      <c r="F30" s="1"/>
      <c r="G30" s="1"/>
    </row>
    <row r="31" spans="1:15" x14ac:dyDescent="0.3">
      <c r="A31" s="46" t="s">
        <v>88</v>
      </c>
      <c r="B31" s="46" t="s">
        <v>85</v>
      </c>
      <c r="C31" s="49" t="s">
        <v>89</v>
      </c>
      <c r="E31" s="1"/>
      <c r="F31" s="47" t="s">
        <v>100</v>
      </c>
      <c r="G31" s="47" t="s">
        <v>101</v>
      </c>
    </row>
    <row r="32" spans="1:15" x14ac:dyDescent="0.3">
      <c r="A32" s="10" t="s">
        <v>93</v>
      </c>
      <c r="B32" s="10" t="s">
        <v>94</v>
      </c>
      <c r="C32" s="37" cm="1">
        <f t="array" ref="C32">INDEX($E$2:$E$21,MATCH(1,($D$2:$D$21=A32)*($I$2:$I$21=B32),0))</f>
        <v>43388</v>
      </c>
      <c r="E32" s="1"/>
      <c r="F32" s="10" t="s">
        <v>98</v>
      </c>
      <c r="G32" s="10">
        <f>_xlfn.XMATCH(F32,$B$2:$B$21,0)</f>
        <v>3</v>
      </c>
    </row>
    <row r="34" spans="4:6" x14ac:dyDescent="0.3">
      <c r="D34" s="47" t="s">
        <v>106</v>
      </c>
      <c r="E34" s="47" t="s">
        <v>107</v>
      </c>
      <c r="F34" s="47" t="s">
        <v>108</v>
      </c>
    </row>
    <row r="35" spans="4:6" x14ac:dyDescent="0.3">
      <c r="D35" s="10"/>
      <c r="E35" s="10"/>
      <c r="F35" s="37">
        <f ca="1">SUM(INDIRECT(E34))</f>
        <v>481406.40000000008</v>
      </c>
    </row>
    <row r="36" spans="4:6" x14ac:dyDescent="0.3">
      <c r="D36" s="10"/>
      <c r="E36" s="10"/>
      <c r="F36" s="10"/>
    </row>
    <row r="37" spans="4:6" x14ac:dyDescent="0.3">
      <c r="D37" s="47" t="s">
        <v>112</v>
      </c>
      <c r="E37" s="10">
        <f ca="1">SUM(OFFSET(E2,0,0,5,1))</f>
        <v>96800</v>
      </c>
      <c r="F37" s="10"/>
    </row>
    <row r="38" spans="4:6" x14ac:dyDescent="0.3">
      <c r="D38" s="47" t="s">
        <v>114</v>
      </c>
      <c r="E38" s="10">
        <f ca="1">SUM(OFFSET(E2,0,0,10,1))</f>
        <v>249975</v>
      </c>
      <c r="F38" s="10"/>
    </row>
    <row r="39" spans="4:6" x14ac:dyDescent="0.3">
      <c r="D39" s="1"/>
      <c r="E39" s="1"/>
      <c r="F3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Students Grade</vt:lpstr>
      <vt:lpstr>Employee Data</vt:lpstr>
      <vt:lpstr>Sales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CHAUDHARY aryan</dc:creator>
  <cp:keywords/>
  <dc:description/>
  <cp:lastModifiedBy>CHAUDHARY aryan</cp:lastModifiedBy>
  <cp:revision/>
  <dcterms:created xsi:type="dcterms:W3CDTF">2026-09-13T07:04:43Z</dcterms:created>
  <dcterms:modified xsi:type="dcterms:W3CDTF">2026-10-16T10:46:33Z</dcterms:modified>
  <cp:category/>
  <cp:contentStatus/>
</cp:coreProperties>
</file>